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ial data" sheetId="2" state="visible" r:id="rId4"/>
    <sheet name="Feasibility" sheetId="3" state="visible" r:id="rId5"/>
    <sheet name="Accuracy effects" sheetId="4" state="visible" r:id="rId6"/>
    <sheet name="Normalization" sheetId="5" state="visible" r:id="rId7"/>
    <sheet name="Top confi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<sst xmlns="http://schemas.openxmlformats.org/spreadsheetml/2006/main" count="657" uniqueCount="183">
  <si>
    <t xml:space="preserve">DVS Gesture SNN — Hyperparameter Search: Statistical Analysis</t>
  </si>
  <si>
    <t xml:space="preserve">What this analyzes</t>
  </si>
  <si>
    <t xml:space="preserve">Two Optuna/Ray searches over the HiAER-Spike-constrained DVS Gesture model.
  • RUN B (uniform space): 50 trials, 35 feasible. Plain BatchNorm on/off, one geometry for all layers. The successful run (best 87.5%).
  • RUN A (per-layer space): 15 trials, 6 feasible. Adds tdBN, learnable tau/threshold, independent per-layer geometry. The struggling run.</t>
  </si>
  <si>
    <t xml:space="preserve">Outcome analyzed</t>
  </si>
  <si>
    <t xml:space="preserve">best_val = best validation accuracy the trial reached. Feasibility = passes the 5 HiAER-Spike axon/fan-in/fan-out limits (a static check, before any training).</t>
  </si>
  <si>
    <t xml:space="preserve">Tests used, and why</t>
  </si>
  <si>
    <t xml:space="preserve">• Feasibility (categorical outcome) vs each knob -&gt; chi-square with Cramer's V effect size. Fisher's exact where cells are small.
• best_val is NON-normal and bimodal (Shapiro-Wilk W=0.80, p=1.8e-5) — a dead cluster near chance plus a spread of learners — so PARAMETRIC t-tests are invalid. Nonparametric throughout:
    – binary knob vs accuracy -&gt; Mann-Whitney U, effect size = rank-biserial r
    – multi-level knob vs accuracy -&gt; Kruskal-Wallis H, effect size = epsilon-squared
    – continuous knob vs accuracy -&gt; Spearman rank correlation rho (rho IS the effect size)
• 15 knobs tested at once -&gt; Benjamini-Hochberg FDR correction; report q (p_fdr). Significant = q &lt; 0.05.
• Headline normalization effect pooled across both runs (RUN A norm!=none == on; RUN B batchnorm==on) -&gt; Mann-Whitney + Fisher's exact on learned/dead.</t>
  </si>
  <si>
    <t xml:space="preserve">The findings (all FDR-corrected)</t>
  </si>
  <si>
    <t xml:space="preserve">1. NORMALIZATION IS MANDATORY. With it: median 0.73. Without it: median 0.07 (below chance). Pooled Mann-Whitney p=0.0015 (r=0.67); learned-vs-dead odds ratio 21.8, Fisher p=0.001. Every dead network lacked normalization.
2. WIDTH drives INFEASIBILITY. channels is the only significant feasibility driver (chi-square p=0.0006, V=0.59): 32ch 88% feasible, 128ch 14%, 256ch 50%. Wide nets bust fan-in/fan-out.
3. LOW tau helps. Spearman rho=-0.60 (q=0.002) — winners cluster at tau~1.5-1.9.
4. FEWER FC layers help. Kruskal-Wallis q=0.044; every top model has 0 hidden FC (encoder straight to classifier).
5. Higher lr (q=0.044, within 1e-4..5e-3) and lower weight_decay (rho=-0.47, q=0.020) help.
6. NOT significant after FDR: resize, downsample mode, dropout, label smoothing, optimizer, kernel, depth, T (T=16 favoured but only p=0.10).</t>
  </si>
  <si>
    <t xml:space="preserve">What it means for the search space</t>
  </si>
  <si>
    <t xml:space="preserve">• DELETE norm=none / batchnorm=false — it produced every dead trial and wasted ~1/4 of the budget.
• CONSTRAIN channels to {32, 64} — 128/256 are mostly infeasible and never better.
• NARROW tau to ~[1.5, 2.5], bias fc_layers to {0, 1}, keep lr toward the high end, weight_decay low.
• These five changes would let a ~20-trial rerun spend nearly all of its budget on models that actually train.</t>
  </si>
  <si>
    <t xml:space="preserve">What it means for the model</t>
  </si>
  <si>
    <t xml:space="preserve">The winner is depth-2, 32-channel, k7, stride-2, resize-64, T=16, no hidden FC, BatchNorm: 87.5% val at 31.5K neurons / 104K params — smaller than the original baseline (109K neurons) and far more accurate. High-80s is likely near the ceiling under these constraints (binarized input, 64x64 not 128, foldable ops only).</t>
  </si>
  <si>
    <t xml:space="preserve">Caveats — read before quoting a p-value</t>
  </si>
  <si>
    <t xml:space="preserve">• SMALL n. RUN B feasible n=35 (exploratory, hypothesis-generating, not confirmatory); RUN A feasible n=6 has essentially no power — its tdBN/learnable-neuron trials are DESCRIPTIVE ONLY and fully confounded with norm=none.
• ASHA CENSORING. Pruned trials stopped at 8 or 24 epochs, so their best_val is a floor, biased low. The dead (norm-off) trials are genuinely flat at epoch 8, so that effect is real; but tau/lr correlations may be partly censoring-driven.
• OBSERVATIONAL, not randomized. TPE concentrates sampling on good regions, so winning knobs are correlated (low tau + BN + 32ch co-occur). Single-knob effects cannot be fully separated. A controlled A/B (freeze the winner, vary one knob) is the clean follow-up — especially for tdBN and learnable neurons, which this data cannot judge.</t>
  </si>
  <si>
    <t xml:space="preserve">run</t>
  </si>
  <si>
    <t xml:space="preserve">trial_id</t>
  </si>
  <si>
    <t xml:space="preserve">feasible</t>
  </si>
  <si>
    <t xml:space="preserve">feas01</t>
  </si>
  <si>
    <t xml:space="preserve">best_val</t>
  </si>
  <si>
    <t xml:space="preserve">learned01</t>
  </si>
  <si>
    <t xml:space="preserve">epochs_run</t>
  </si>
  <si>
    <t xml:space="preserve">stopped_early</t>
  </si>
  <si>
    <t xml:space="preserve">neurons</t>
  </si>
  <si>
    <t xml:space="preserve">params</t>
  </si>
  <si>
    <t xml:space="preserve">connections</t>
  </si>
  <si>
    <t xml:space="preserve">depth</t>
  </si>
  <si>
    <t xml:space="preserve">channels</t>
  </si>
  <si>
    <t xml:space="preserve">kernel_size</t>
  </si>
  <si>
    <t xml:space="preserve">downsample_mode</t>
  </si>
  <si>
    <t xml:space="preserve">stride</t>
  </si>
  <si>
    <t xml:space="preserve">resize_to</t>
  </si>
  <si>
    <t xml:space="preserve">T</t>
  </si>
  <si>
    <t xml:space="preserve">tau</t>
  </si>
  <si>
    <t xml:space="preserve">fc_layers</t>
  </si>
  <si>
    <t xml:space="preserve">final_reduction</t>
  </si>
  <si>
    <t xml:space="preserve">dropout_rate</t>
  </si>
  <si>
    <t xml:space="preserve">label_smoothing</t>
  </si>
  <si>
    <t xml:space="preserve">grad_clip</t>
  </si>
  <si>
    <t xml:space="preserve">optimizer</t>
  </si>
  <si>
    <t xml:space="preserve">lr</t>
  </si>
  <si>
    <t xml:space="preserve">weight_decay</t>
  </si>
  <si>
    <t xml:space="preserve">scheduler</t>
  </si>
  <si>
    <t xml:space="preserve">norm</t>
  </si>
  <si>
    <t xml:space="preserve">norm_kind</t>
  </si>
  <si>
    <t xml:space="preserve">norm_present</t>
  </si>
  <si>
    <t xml:space="preserve">tdbn_alpha</t>
  </si>
  <si>
    <t xml:space="preserve">trainable_tau</t>
  </si>
  <si>
    <t xml:space="preserve">trainable_threshold</t>
  </si>
  <si>
    <t xml:space="preserve">A_per_layer</t>
  </si>
  <si>
    <t xml:space="preserve">6ecd9b62</t>
  </si>
  <si>
    <t xml:space="preserve">gap</t>
  </si>
  <si>
    <t xml:space="preserve">adam</t>
  </si>
  <si>
    <t xml:space="preserve">step</t>
  </si>
  <si>
    <t xml:space="preserve">tdbn</t>
  </si>
  <si>
    <t xml:space="preserve">469238c4</t>
  </si>
  <si>
    <t xml:space="preserve">flatten</t>
  </si>
  <si>
    <t xml:space="preserve">cosine</t>
  </si>
  <si>
    <t xml:space="preserve">none</t>
  </si>
  <si>
    <t xml:space="preserve">39a15454</t>
  </si>
  <si>
    <t xml:space="preserve">adamw</t>
  </si>
  <si>
    <t xml:space="preserve">bn</t>
  </si>
  <si>
    <t xml:space="preserve">6841f40c</t>
  </si>
  <si>
    <t xml:space="preserve">f49ab8be</t>
  </si>
  <si>
    <t xml:space="preserve">06a415d0</t>
  </si>
  <si>
    <t xml:space="preserve">onecycle</t>
  </si>
  <si>
    <t xml:space="preserve">f0421abc</t>
  </si>
  <si>
    <t xml:space="preserve">8e346be1</t>
  </si>
  <si>
    <t xml:space="preserve">5ccc6c8a</t>
  </si>
  <si>
    <t xml:space="preserve">d5ed0c14</t>
  </si>
  <si>
    <t xml:space="preserve">0651222d</t>
  </si>
  <si>
    <t xml:space="preserve">608c27b6</t>
  </si>
  <si>
    <t xml:space="preserve">0b06e134</t>
  </si>
  <si>
    <t xml:space="preserve">f2dfc25f</t>
  </si>
  <si>
    <t xml:space="preserve">78a86e6c</t>
  </si>
  <si>
    <t xml:space="preserve">B_uniform</t>
  </si>
  <si>
    <t xml:space="preserve">93b686f1</t>
  </si>
  <si>
    <t xml:space="preserve">c375c98b</t>
  </si>
  <si>
    <t xml:space="preserve">e1eed3f4</t>
  </si>
  <si>
    <t xml:space="preserve">pool</t>
  </si>
  <si>
    <t xml:space="preserve">e0db2881</t>
  </si>
  <si>
    <t xml:space="preserve">dc0cbc39</t>
  </si>
  <si>
    <t xml:space="preserve">265d27e5</t>
  </si>
  <si>
    <t xml:space="preserve">dc4a143e</t>
  </si>
  <si>
    <t xml:space="preserve">1d811f3a</t>
  </si>
  <si>
    <t xml:space="preserve">69bce916</t>
  </si>
  <si>
    <t xml:space="preserve">3626799c</t>
  </si>
  <si>
    <t xml:space="preserve">a89c83db</t>
  </si>
  <si>
    <t xml:space="preserve">2e781a0d</t>
  </si>
  <si>
    <t xml:space="preserve">57606a00</t>
  </si>
  <si>
    <t xml:space="preserve">f71edc30</t>
  </si>
  <si>
    <t xml:space="preserve">0e62ca7a</t>
  </si>
  <si>
    <t xml:space="preserve">2ed40450</t>
  </si>
  <si>
    <t xml:space="preserve">7919e0d7</t>
  </si>
  <si>
    <t xml:space="preserve">21b7d73f</t>
  </si>
  <si>
    <t xml:space="preserve">bb4cd8d1</t>
  </si>
  <si>
    <t xml:space="preserve">d591e590</t>
  </si>
  <si>
    <t xml:space="preserve">88d6f97e</t>
  </si>
  <si>
    <t xml:space="preserve">ccef3050</t>
  </si>
  <si>
    <t xml:space="preserve">b1e2b17a</t>
  </si>
  <si>
    <t xml:space="preserve">2577bd0c</t>
  </si>
  <si>
    <t xml:space="preserve">3eaa9540</t>
  </si>
  <si>
    <t xml:space="preserve">0132fde7</t>
  </si>
  <si>
    <t xml:space="preserve">f15c195f</t>
  </si>
  <si>
    <t xml:space="preserve">966386fb</t>
  </si>
  <si>
    <t xml:space="preserve">3ebae440</t>
  </si>
  <si>
    <t xml:space="preserve">8ff02edf</t>
  </si>
  <si>
    <t xml:space="preserve">33b2fe99</t>
  </si>
  <si>
    <t xml:space="preserve">48fc172b</t>
  </si>
  <si>
    <t xml:space="preserve">a3fbddc9</t>
  </si>
  <si>
    <t xml:space="preserve">7d05d575</t>
  </si>
  <si>
    <t xml:space="preserve">319748f6</t>
  </si>
  <si>
    <t xml:space="preserve">a6bfc11a</t>
  </si>
  <si>
    <t xml:space="preserve">2449adcc</t>
  </si>
  <si>
    <t xml:space="preserve">1a70b753</t>
  </si>
  <si>
    <t xml:space="preserve">f07246e7</t>
  </si>
  <si>
    <t xml:space="preserve">26c9afb5</t>
  </si>
  <si>
    <t xml:space="preserve">c4775582</t>
  </si>
  <si>
    <t xml:space="preserve">8e0d2479</t>
  </si>
  <si>
    <t xml:space="preserve">8785a249</t>
  </si>
  <si>
    <t xml:space="preserve">cef7e3cf</t>
  </si>
  <si>
    <t xml:space="preserve">8a42e8e4</t>
  </si>
  <si>
    <t xml:space="preserve">f649ee1b</t>
  </si>
  <si>
    <t xml:space="preserve">f4c87a09</t>
  </si>
  <si>
    <t xml:space="preserve">74c81148</t>
  </si>
  <si>
    <t xml:space="preserve">ba258bc3</t>
  </si>
  <si>
    <t xml:space="preserve">ede5d37d</t>
  </si>
  <si>
    <t xml:space="preserve">Feasibility drivers (RUN B, n=50) — chi-square + Cramer's V</t>
  </si>
  <si>
    <t xml:space="preserve">knob</t>
  </si>
  <si>
    <t xml:space="preserve">chi-square</t>
  </si>
  <si>
    <t xml:space="preserve">p</t>
  </si>
  <si>
    <t xml:space="preserve">q (FDR)</t>
  </si>
  <si>
    <t xml:space="preserve">Cramer's V</t>
  </si>
  <si>
    <t xml:space="preserve">feasible / total by level</t>
  </si>
  <si>
    <t xml:space="preserve">3.0:5/7 ; 5.0:18/22 ; 7.0:12/21</t>
  </si>
  <si>
    <t xml:space="preserve">32.0:23/26 ; 64.0:6/7 ; 128.0:1/7 ; 256.0:5/10</t>
  </si>
  <si>
    <t xml:space="preserve">pool:11/17 ; stride:24/33</t>
  </si>
  <si>
    <t xml:space="preserve">32:13/18 ; 64:22/32</t>
  </si>
  <si>
    <t xml:space="preserve">2:14/20 ; 3:9/12 ; 4:8/10 ; 5:4/8</t>
  </si>
  <si>
    <t xml:space="preserve">0:19/28 ; 1:11/14 ; 2:4/6 ; 3:1/2</t>
  </si>
  <si>
    <t xml:space="preserve">8:8/14 ; 16:27/36</t>
  </si>
  <si>
    <t xml:space="preserve">Live check — feasibility rate by channels (formulas over 'Trial data')</t>
  </si>
  <si>
    <t xml:space="preserve">total</t>
  </si>
  <si>
    <t xml:space="preserve">rate</t>
  </si>
  <si>
    <t xml:space="preserve">What moves accuracy (RUN B feasible, n=35) — nonparametric, FDR-corrected</t>
  </si>
  <si>
    <t xml:space="preserve">test</t>
  </si>
  <si>
    <t xml:space="preserve">statistic</t>
  </si>
  <si>
    <t xml:space="preserve">effect size</t>
  </si>
  <si>
    <t xml:space="preserve">significant</t>
  </si>
  <si>
    <t xml:space="preserve">interpretation</t>
  </si>
  <si>
    <t xml:space="preserve">batchnorm</t>
  </si>
  <si>
    <t xml:space="preserve">Mann-Whitney</t>
  </si>
  <si>
    <t xml:space="preserve">yes</t>
  </si>
  <si>
    <t xml:space="preserve">BN on: median .76 vs .21. Decisive.</t>
  </si>
  <si>
    <t xml:space="preserve">Spearman</t>
  </si>
  <si>
    <t xml:space="preserve">lower tau better (rho -0.60).</t>
  </si>
  <si>
    <t xml:space="preserve">lower wd better (rho -0.47).</t>
  </si>
  <si>
    <t xml:space="preserve">higher lr (to 5e-3) better.</t>
  </si>
  <si>
    <t xml:space="preserve">no</t>
  </si>
  <si>
    <t xml:space="preserve">adam~adamw (n.s.).</t>
  </si>
  <si>
    <t xml:space="preserve">Kruskal-Wallis</t>
  </si>
  <si>
    <t xml:space="preserve">0 hidden FC best.</t>
  </si>
  <si>
    <t xml:space="preserve">shallow (2-3) better.</t>
  </si>
  <si>
    <t xml:space="preserve">n.s.</t>
  </si>
  <si>
    <t xml:space="preserve">k5-7 mild edge.</t>
  </si>
  <si>
    <t xml:space="preserve">weak.</t>
  </si>
  <si>
    <t xml:space="preserve">T=16 favoured (n.s.).</t>
  </si>
  <si>
    <t xml:space="preserve">n.s. for accuracy (matters for feasibility).</t>
  </si>
  <si>
    <t xml:space="preserve">Headline result: normalization present vs absent (both runs pooled)</t>
  </si>
  <si>
    <t xml:space="preserve">Group</t>
  </si>
  <si>
    <t xml:space="preserve">n</t>
  </si>
  <si>
    <t xml:space="preserve">median best_val</t>
  </si>
  <si>
    <t xml:space="preserve">mean best_val</t>
  </si>
  <si>
    <t xml:space="preserve">Normalization ON</t>
  </si>
  <si>
    <t xml:space="preserve">Normalization OFF</t>
  </si>
  <si>
    <t xml:space="preserve">Mann-Whitney U=259.5, p=0.001524, rank-biserial r=0.674  (large effect).</t>
  </si>
  <si>
    <t xml:space="preserve">Learned (best_val &gt; 1/11 chance) vs dead — 2x2 contingency:</t>
  </si>
  <si>
    <t xml:space="preserve">dead</t>
  </si>
  <si>
    <t xml:space="preserve">learned</t>
  </si>
  <si>
    <t xml:space="preserve">norm OFF</t>
  </si>
  <si>
    <t xml:space="preserve">norm ON</t>
  </si>
  <si>
    <t xml:space="preserve">Fisher's exact p=0.001061, odds ratio=21.8. A network without normalization is ~22x more likely to be dead.</t>
  </si>
  <si>
    <t xml:space="preserve">Top configurations (feasible, by best_val) + accuracy-vs-size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</si>
</sst>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00"/>
    <numFmt numFmtId="167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3F2E8"/>
        <bgColor rgb="FFFBE9E9"/>
      </patternFill>
    </fill>
    <fill>
      <patternFill patternType="solid">
        <fgColor rgb="FFFBE9E9"/>
        <bgColor rgb="FFE3F2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E9"/>
      <rgbColor rgb="FFE3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519480</xdr:colOff>
      <xdr:row>27</xdr:row>
      <xdr:rowOff>127440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505720" y="426240"/>
          <a:ext cx="7857720" cy="542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8</xdr:col>
      <xdr:colOff>329040</xdr:colOff>
      <xdr:row>54</xdr:row>
      <xdr:rowOff>95040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55240"/>
          <a:ext cx="8857800" cy="657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13</xdr:col>
      <xdr:colOff>500760</xdr:colOff>
      <xdr:row>48</xdr:row>
      <xdr:rowOff>95040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4229280" y="3855240"/>
          <a:ext cx="7857720" cy="542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19</xdr:col>
      <xdr:colOff>11520</xdr:colOff>
      <xdr:row>25</xdr:row>
      <xdr:rowOff>360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4981680" y="426240"/>
          <a:ext cx="8572320" cy="571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14</xdr:col>
      <xdr:colOff>136800</xdr:colOff>
      <xdr:row>44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3015000"/>
          <a:ext cx="8572320" cy="571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5.7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8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02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87.75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60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18" hidden="false" customHeight="true" outlineLevel="0" collapsed="false">
      <c r="A19" s="3" t="s">
        <v>12</v>
      </c>
    </row>
    <row r="21" customFormat="false" ht="15" hidden="false" customHeight="false" outlineLevel="0" collapsed="false">
      <c r="A21" s="2" t="s">
        <v>13</v>
      </c>
    </row>
    <row r="22" customFormat="false" ht="45.75" hidden="false" customHeight="true" outlineLevel="0" collapsed="false">
      <c r="A2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9" min="18" style="0" width="9"/>
    <col collapsed="false" customWidth="true" hidden="false" outlineLevel="0" max="20" min="20" style="0" width="11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15"/>
    <col collapsed="false" customWidth="true" hidden="false" outlineLevel="0" max="25" min="24" style="0" width="11"/>
    <col collapsed="false" customWidth="true" hidden="false" outlineLevel="0" max="26" min="26" style="0" width="9"/>
    <col collapsed="false" customWidth="true" hidden="false" outlineLevel="0" max="27" min="27" style="0" width="14"/>
    <col collapsed="false" customWidth="true" hidden="false" outlineLevel="0" max="28" min="28" style="0" width="11"/>
    <col collapsed="false" customWidth="true" hidden="false" outlineLevel="0" max="29" min="29" style="0" width="9"/>
    <col collapsed="false" customWidth="true" hidden="false" outlineLevel="0" max="30" min="30" style="0" width="11"/>
    <col collapsed="false" customWidth="true" hidden="false" outlineLevel="0" max="31" min="31" style="0" width="14"/>
    <col collapsed="false" customWidth="true" hidden="false" outlineLevel="0" max="32" min="32" style="0" width="12"/>
    <col collapsed="false" customWidth="true" hidden="false" outlineLevel="0" max="34" min="33" style="0" width="15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4" t="s">
        <v>48</v>
      </c>
    </row>
    <row r="2" customFormat="false" ht="15" hidden="false" customHeight="false" outlineLevel="0" collapsed="false">
      <c r="A2" s="5" t="s">
        <v>49</v>
      </c>
      <c r="B2" s="0" t="s">
        <v>50</v>
      </c>
      <c r="C2" s="6" t="b">
        <f aca="false">TRUE()</f>
        <v>1</v>
      </c>
      <c r="D2" s="0" t="n">
        <v>1</v>
      </c>
      <c r="E2" s="0" t="n">
        <v>0.340909090909091</v>
      </c>
      <c r="F2" s="0" t="n">
        <v>1</v>
      </c>
      <c r="G2" s="0" t="n">
        <v>40</v>
      </c>
      <c r="H2" s="6" t="b">
        <f aca="false">FALSE()</f>
        <v>0</v>
      </c>
      <c r="I2" s="0" t="n">
        <v>577547</v>
      </c>
      <c r="J2" s="0" t="n">
        <v>856704</v>
      </c>
      <c r="K2" s="0" t="n">
        <v>313023104</v>
      </c>
      <c r="L2" s="0" t="n">
        <v>5</v>
      </c>
      <c r="Q2" s="0" t="n">
        <v>64</v>
      </c>
      <c r="R2" s="0" t="n">
        <v>16</v>
      </c>
      <c r="S2" s="0" t="n">
        <v>3.75096501257501</v>
      </c>
      <c r="T2" s="0" t="n">
        <v>1</v>
      </c>
      <c r="U2" s="0" t="s">
        <v>51</v>
      </c>
      <c r="V2" s="0" t="n">
        <v>0.030928488077594</v>
      </c>
      <c r="W2" s="0" t="n">
        <v>0.0119768051323759</v>
      </c>
      <c r="X2" s="0" t="n">
        <v>0</v>
      </c>
      <c r="Y2" s="0" t="s">
        <v>52</v>
      </c>
      <c r="Z2" s="0" t="n">
        <v>0.0044075704378956</v>
      </c>
      <c r="AA2" s="0" t="n">
        <v>8.86973601674442E-008</v>
      </c>
      <c r="AB2" s="0" t="s">
        <v>53</v>
      </c>
      <c r="AC2" s="0" t="s">
        <v>54</v>
      </c>
      <c r="AD2" s="0" t="s">
        <v>54</v>
      </c>
      <c r="AE2" s="6" t="b">
        <f aca="false">TRUE()</f>
        <v>1</v>
      </c>
      <c r="AF2" s="0" t="n">
        <v>1.65168271508958</v>
      </c>
      <c r="AG2" s="6" t="b">
        <f aca="false">FALSE()</f>
        <v>0</v>
      </c>
      <c r="AH2" s="6" t="b">
        <f aca="false">FALSE()</f>
        <v>0</v>
      </c>
    </row>
    <row r="3" customFormat="false" ht="15" hidden="false" customHeight="false" outlineLevel="0" collapsed="false">
      <c r="A3" s="7" t="s">
        <v>49</v>
      </c>
      <c r="B3" s="0" t="s">
        <v>55</v>
      </c>
      <c r="C3" s="6" t="b">
        <f aca="false">FALSE()</f>
        <v>0</v>
      </c>
      <c r="D3" s="0" t="n">
        <v>0</v>
      </c>
      <c r="F3" s="0" t="n">
        <v>0</v>
      </c>
      <c r="G3" s="0" t="n">
        <v>0</v>
      </c>
      <c r="H3" s="6" t="b">
        <f aca="false">FALSE()</f>
        <v>0</v>
      </c>
      <c r="L3" s="0" t="n">
        <v>5</v>
      </c>
      <c r="Q3" s="0" t="n">
        <v>64</v>
      </c>
      <c r="R3" s="0" t="n">
        <v>8</v>
      </c>
      <c r="S3" s="0" t="n">
        <v>1.63430864100343</v>
      </c>
      <c r="T3" s="0" t="n">
        <v>3</v>
      </c>
      <c r="U3" s="0" t="s">
        <v>56</v>
      </c>
      <c r="V3" s="0" t="n">
        <v>0.152987386498553</v>
      </c>
      <c r="W3" s="0" t="n">
        <v>0.0039998381726803</v>
      </c>
      <c r="X3" s="0" t="n">
        <v>0</v>
      </c>
      <c r="Y3" s="0" t="s">
        <v>52</v>
      </c>
      <c r="Z3" s="0" t="n">
        <v>0.0006185203139834</v>
      </c>
      <c r="AA3" s="0" t="n">
        <v>7.57483171824387E-007</v>
      </c>
      <c r="AB3" s="0" t="s">
        <v>57</v>
      </c>
      <c r="AC3" s="0" t="s">
        <v>58</v>
      </c>
      <c r="AD3" s="0" t="s">
        <v>58</v>
      </c>
      <c r="AE3" s="6" t="b">
        <f aca="false">FALSE()</f>
        <v>0</v>
      </c>
      <c r="AG3" s="6" t="b">
        <f aca="false">TRUE()</f>
        <v>1</v>
      </c>
      <c r="AH3" s="6" t="b">
        <f aca="false">TRUE()</f>
        <v>1</v>
      </c>
    </row>
    <row r="4" customFormat="false" ht="15" hidden="false" customHeight="false" outlineLevel="0" collapsed="false">
      <c r="A4" s="5" t="s">
        <v>49</v>
      </c>
      <c r="B4" s="0" t="s">
        <v>59</v>
      </c>
      <c r="C4" s="6" t="b">
        <f aca="false">TRUE()</f>
        <v>1</v>
      </c>
      <c r="D4" s="0" t="n">
        <v>1</v>
      </c>
      <c r="E4" s="0" t="n">
        <v>0.210227272727273</v>
      </c>
      <c r="F4" s="0" t="n">
        <v>1</v>
      </c>
      <c r="G4" s="0" t="n">
        <v>8</v>
      </c>
      <c r="H4" s="6" t="b">
        <f aca="false">TRUE()</f>
        <v>1</v>
      </c>
      <c r="I4" s="0" t="n">
        <v>927883</v>
      </c>
      <c r="J4" s="0" t="n">
        <v>5538112</v>
      </c>
      <c r="K4" s="0" t="n">
        <v>1531883008</v>
      </c>
      <c r="L4" s="0" t="n">
        <v>3</v>
      </c>
      <c r="Q4" s="0" t="n">
        <v>64</v>
      </c>
      <c r="R4" s="0" t="n">
        <v>8</v>
      </c>
      <c r="S4" s="0" t="n">
        <v>3.34369413437603</v>
      </c>
      <c r="T4" s="0" t="n">
        <v>3</v>
      </c>
      <c r="U4" s="0" t="s">
        <v>56</v>
      </c>
      <c r="V4" s="0" t="n">
        <v>0.396152022257831</v>
      </c>
      <c r="W4" s="0" t="n">
        <v>0.0009099739288749</v>
      </c>
      <c r="X4" s="0" t="n">
        <v>5</v>
      </c>
      <c r="Y4" s="0" t="s">
        <v>60</v>
      </c>
      <c r="Z4" s="0" t="n">
        <v>0.0024240064752751</v>
      </c>
      <c r="AA4" s="0" t="n">
        <v>0.0669002161723377</v>
      </c>
      <c r="AB4" s="0" t="s">
        <v>57</v>
      </c>
      <c r="AC4" s="0" t="s">
        <v>61</v>
      </c>
      <c r="AD4" s="0" t="s">
        <v>61</v>
      </c>
      <c r="AE4" s="6" t="b">
        <f aca="false">TRUE()</f>
        <v>1</v>
      </c>
      <c r="AG4" s="6" t="b">
        <f aca="false">FALSE()</f>
        <v>0</v>
      </c>
      <c r="AH4" s="6" t="b">
        <f aca="false">FALSE()</f>
        <v>0</v>
      </c>
    </row>
    <row r="5" customFormat="false" ht="15" hidden="false" customHeight="false" outlineLevel="0" collapsed="false">
      <c r="A5" s="5" t="s">
        <v>49</v>
      </c>
      <c r="B5" s="0" t="s">
        <v>62</v>
      </c>
      <c r="C5" s="6" t="b">
        <f aca="false">TRUE()</f>
        <v>1</v>
      </c>
      <c r="D5" s="0" t="n">
        <v>1</v>
      </c>
      <c r="E5" s="0" t="n">
        <v>0.0681818181818181</v>
      </c>
      <c r="F5" s="0" t="n">
        <v>0</v>
      </c>
      <c r="G5" s="0" t="n">
        <v>8</v>
      </c>
      <c r="H5" s="6" t="b">
        <f aca="false">TRUE()</f>
        <v>1</v>
      </c>
      <c r="I5" s="0" t="n">
        <v>614923</v>
      </c>
      <c r="J5" s="0" t="n">
        <v>155584</v>
      </c>
      <c r="K5" s="0" t="n">
        <v>116778880</v>
      </c>
      <c r="L5" s="0" t="n">
        <v>3</v>
      </c>
      <c r="Q5" s="0" t="n">
        <v>64</v>
      </c>
      <c r="R5" s="0" t="n">
        <v>16</v>
      </c>
      <c r="S5" s="0" t="n">
        <v>3.94688148565864</v>
      </c>
      <c r="T5" s="0" t="n">
        <v>0</v>
      </c>
      <c r="U5" s="0" t="s">
        <v>51</v>
      </c>
      <c r="V5" s="0" t="n">
        <v>0.163419256527356</v>
      </c>
      <c r="W5" s="0" t="n">
        <v>0.052095018116962</v>
      </c>
      <c r="X5" s="0" t="n">
        <v>0</v>
      </c>
      <c r="Y5" s="0" t="s">
        <v>52</v>
      </c>
      <c r="Z5" s="0" t="n">
        <v>0.0001599386737803</v>
      </c>
      <c r="AA5" s="0" t="n">
        <v>1.35503011362418E-006</v>
      </c>
      <c r="AB5" s="0" t="s">
        <v>57</v>
      </c>
      <c r="AC5" s="0" t="s">
        <v>58</v>
      </c>
      <c r="AD5" s="0" t="s">
        <v>58</v>
      </c>
      <c r="AE5" s="6" t="b">
        <f aca="false">FALSE()</f>
        <v>0</v>
      </c>
      <c r="AG5" s="6" t="b">
        <f aca="false">TRUE()</f>
        <v>1</v>
      </c>
      <c r="AH5" s="6" t="b">
        <f aca="false">TRUE()</f>
        <v>1</v>
      </c>
    </row>
    <row r="6" customFormat="false" ht="15" hidden="false" customHeight="false" outlineLevel="0" collapsed="false">
      <c r="A6" s="7" t="s">
        <v>49</v>
      </c>
      <c r="B6" s="0" t="s">
        <v>63</v>
      </c>
      <c r="C6" s="6" t="b">
        <f aca="false">FALSE()</f>
        <v>0</v>
      </c>
      <c r="D6" s="0" t="n">
        <v>0</v>
      </c>
      <c r="F6" s="0" t="n">
        <v>0</v>
      </c>
      <c r="G6" s="0" t="n">
        <v>0</v>
      </c>
      <c r="H6" s="6" t="b">
        <f aca="false">FALSE()</f>
        <v>0</v>
      </c>
      <c r="L6" s="0" t="n">
        <v>4</v>
      </c>
      <c r="Q6" s="0" t="n">
        <v>32</v>
      </c>
      <c r="R6" s="0" t="n">
        <v>16</v>
      </c>
      <c r="S6" s="0" t="n">
        <v>3.43663192368316</v>
      </c>
      <c r="T6" s="0" t="n">
        <v>3</v>
      </c>
      <c r="U6" s="0" t="s">
        <v>56</v>
      </c>
      <c r="V6" s="0" t="n">
        <v>0.158511328574757</v>
      </c>
      <c r="W6" s="0" t="n">
        <v>0.140955456327757</v>
      </c>
      <c r="X6" s="0" t="n">
        <v>1</v>
      </c>
      <c r="Y6" s="0" t="s">
        <v>60</v>
      </c>
      <c r="Z6" s="0" t="n">
        <v>0.0002210178450213</v>
      </c>
      <c r="AA6" s="0" t="n">
        <v>0.0369272575791393</v>
      </c>
      <c r="AB6" s="0" t="s">
        <v>58</v>
      </c>
      <c r="AC6" s="0" t="s">
        <v>54</v>
      </c>
      <c r="AD6" s="0" t="s">
        <v>54</v>
      </c>
      <c r="AE6" s="6" t="b">
        <f aca="false">TRUE()</f>
        <v>1</v>
      </c>
      <c r="AF6" s="0" t="n">
        <v>1.83034034367116</v>
      </c>
      <c r="AG6" s="6" t="b">
        <f aca="false">TRUE()</f>
        <v>1</v>
      </c>
      <c r="AH6" s="6" t="b">
        <f aca="false">FALSE()</f>
        <v>0</v>
      </c>
    </row>
    <row r="7" customFormat="false" ht="15" hidden="false" customHeight="false" outlineLevel="0" collapsed="false">
      <c r="A7" s="5" t="s">
        <v>49</v>
      </c>
      <c r="B7" s="0" t="s">
        <v>64</v>
      </c>
      <c r="C7" s="6" t="b">
        <f aca="false">TRUE()</f>
        <v>1</v>
      </c>
      <c r="D7" s="0" t="n">
        <v>1</v>
      </c>
      <c r="E7" s="0" t="n">
        <v>0.0681818181818181</v>
      </c>
      <c r="F7" s="0" t="n">
        <v>0</v>
      </c>
      <c r="G7" s="0" t="n">
        <v>8</v>
      </c>
      <c r="H7" s="6" t="b">
        <f aca="false">TRUE()</f>
        <v>1</v>
      </c>
      <c r="I7" s="0" t="n">
        <v>24939</v>
      </c>
      <c r="J7" s="0" t="n">
        <v>264512</v>
      </c>
      <c r="K7" s="0" t="n">
        <v>10714048</v>
      </c>
      <c r="L7" s="0" t="n">
        <v>3</v>
      </c>
      <c r="Q7" s="0" t="n">
        <v>32</v>
      </c>
      <c r="R7" s="0" t="n">
        <v>16</v>
      </c>
      <c r="S7" s="0" t="n">
        <v>2.4349470055091</v>
      </c>
      <c r="T7" s="0" t="n">
        <v>2</v>
      </c>
      <c r="U7" s="0" t="s">
        <v>56</v>
      </c>
      <c r="V7" s="0" t="n">
        <v>0.558046119812505</v>
      </c>
      <c r="W7" s="0" t="n">
        <v>0.135509746437654</v>
      </c>
      <c r="X7" s="0" t="n">
        <v>1</v>
      </c>
      <c r="Y7" s="0" t="s">
        <v>52</v>
      </c>
      <c r="Z7" s="0" t="n">
        <v>0.0036731611393615</v>
      </c>
      <c r="AA7" s="0" t="n">
        <v>0.0002018840361194</v>
      </c>
      <c r="AB7" s="0" t="s">
        <v>65</v>
      </c>
      <c r="AC7" s="0" t="s">
        <v>54</v>
      </c>
      <c r="AD7" s="0" t="s">
        <v>54</v>
      </c>
      <c r="AE7" s="6" t="b">
        <f aca="false">TRUE()</f>
        <v>1</v>
      </c>
      <c r="AF7" s="0" t="n">
        <v>1.32691272762242</v>
      </c>
      <c r="AG7" s="6" t="b">
        <f aca="false">FALSE()</f>
        <v>0</v>
      </c>
      <c r="AH7" s="6" t="b">
        <f aca="false">FALSE()</f>
        <v>0</v>
      </c>
    </row>
    <row r="8" customFormat="false" ht="15" hidden="false" customHeight="false" outlineLevel="0" collapsed="false">
      <c r="A8" s="5" t="s">
        <v>49</v>
      </c>
      <c r="B8" s="0" t="s">
        <v>66</v>
      </c>
      <c r="C8" s="6" t="b">
        <f aca="false">TRUE()</f>
        <v>1</v>
      </c>
      <c r="D8" s="0" t="n">
        <v>1</v>
      </c>
      <c r="E8" s="0" t="n">
        <v>0.0681818181818181</v>
      </c>
      <c r="F8" s="0" t="n">
        <v>0</v>
      </c>
      <c r="G8" s="0" t="n">
        <v>8</v>
      </c>
      <c r="H8" s="6" t="b">
        <f aca="false">TRUE()</f>
        <v>1</v>
      </c>
      <c r="I8" s="0" t="n">
        <v>142667</v>
      </c>
      <c r="J8" s="0" t="n">
        <v>2050272</v>
      </c>
      <c r="K8" s="0" t="n">
        <v>24706560</v>
      </c>
      <c r="L8" s="0" t="n">
        <v>4</v>
      </c>
      <c r="Q8" s="0" t="n">
        <v>32</v>
      </c>
      <c r="R8" s="0" t="n">
        <v>16</v>
      </c>
      <c r="S8" s="0" t="n">
        <v>3.35956559891733</v>
      </c>
      <c r="T8" s="0" t="n">
        <v>1</v>
      </c>
      <c r="U8" s="0" t="s">
        <v>56</v>
      </c>
      <c r="V8" s="0" t="n">
        <v>0.380756564814849</v>
      </c>
      <c r="W8" s="0" t="n">
        <v>0.0359616463214093</v>
      </c>
      <c r="X8" s="0" t="n">
        <v>0</v>
      </c>
      <c r="Y8" s="0" t="s">
        <v>60</v>
      </c>
      <c r="Z8" s="0" t="n">
        <v>0.0007381127873435</v>
      </c>
      <c r="AA8" s="0" t="n">
        <v>0.0016370314269173</v>
      </c>
      <c r="AB8" s="0" t="s">
        <v>65</v>
      </c>
      <c r="AC8" s="0" t="s">
        <v>58</v>
      </c>
      <c r="AD8" s="0" t="s">
        <v>58</v>
      </c>
      <c r="AE8" s="6" t="b">
        <f aca="false">FALSE()</f>
        <v>0</v>
      </c>
      <c r="AG8" s="6" t="b">
        <f aca="false">TRUE()</f>
        <v>1</v>
      </c>
      <c r="AH8" s="6" t="b">
        <f aca="false">FALSE()</f>
        <v>0</v>
      </c>
    </row>
    <row r="9" customFormat="false" ht="15" hidden="false" customHeight="false" outlineLevel="0" collapsed="false">
      <c r="A9" s="7" t="s">
        <v>49</v>
      </c>
      <c r="B9" s="0" t="s">
        <v>67</v>
      </c>
      <c r="C9" s="6" t="b">
        <f aca="false">FALSE()</f>
        <v>0</v>
      </c>
      <c r="D9" s="0" t="n">
        <v>0</v>
      </c>
      <c r="F9" s="0" t="n">
        <v>0</v>
      </c>
      <c r="G9" s="0" t="n">
        <v>0</v>
      </c>
      <c r="H9" s="6" t="b">
        <f aca="false">FALSE()</f>
        <v>0</v>
      </c>
      <c r="L9" s="0" t="n">
        <v>3</v>
      </c>
      <c r="Q9" s="0" t="n">
        <v>32</v>
      </c>
      <c r="R9" s="0" t="n">
        <v>8</v>
      </c>
      <c r="S9" s="0" t="n">
        <v>1.69049532447361</v>
      </c>
      <c r="T9" s="0" t="n">
        <v>3</v>
      </c>
      <c r="U9" s="0" t="s">
        <v>51</v>
      </c>
      <c r="V9" s="0" t="n">
        <v>0.564808545834877</v>
      </c>
      <c r="W9" s="0" t="n">
        <v>0.145477319264646</v>
      </c>
      <c r="X9" s="0" t="n">
        <v>5</v>
      </c>
      <c r="Y9" s="0" t="s">
        <v>52</v>
      </c>
      <c r="Z9" s="0" t="n">
        <v>0.0038436190083365</v>
      </c>
      <c r="AA9" s="0" t="n">
        <v>8.52482901602002E-007</v>
      </c>
      <c r="AB9" s="0" t="s">
        <v>65</v>
      </c>
      <c r="AC9" s="0" t="s">
        <v>58</v>
      </c>
      <c r="AD9" s="0" t="s">
        <v>58</v>
      </c>
      <c r="AE9" s="6" t="b">
        <f aca="false">FALSE()</f>
        <v>0</v>
      </c>
      <c r="AG9" s="6" t="b">
        <f aca="false">TRUE()</f>
        <v>1</v>
      </c>
      <c r="AH9" s="6" t="b">
        <f aca="false">FALSE()</f>
        <v>0</v>
      </c>
    </row>
    <row r="10" customFormat="false" ht="15" hidden="false" customHeight="false" outlineLevel="0" collapsed="false">
      <c r="A10" s="7" t="s">
        <v>49</v>
      </c>
      <c r="B10" s="0" t="s">
        <v>68</v>
      </c>
      <c r="C10" s="6" t="b">
        <f aca="false">FALSE()</f>
        <v>0</v>
      </c>
      <c r="D10" s="0" t="n">
        <v>0</v>
      </c>
      <c r="F10" s="0" t="n">
        <v>0</v>
      </c>
      <c r="G10" s="0" t="n">
        <v>0</v>
      </c>
      <c r="H10" s="6" t="b">
        <f aca="false">FALSE()</f>
        <v>0</v>
      </c>
      <c r="L10" s="0" t="n">
        <v>3</v>
      </c>
      <c r="Q10" s="0" t="n">
        <v>64</v>
      </c>
      <c r="R10" s="0" t="n">
        <v>8</v>
      </c>
      <c r="S10" s="0" t="n">
        <v>1.62890950545537</v>
      </c>
      <c r="T10" s="0" t="n">
        <v>2</v>
      </c>
      <c r="U10" s="0" t="s">
        <v>51</v>
      </c>
      <c r="V10" s="0" t="n">
        <v>0.319472818378959</v>
      </c>
      <c r="W10" s="0" t="n">
        <v>0.135745225376081</v>
      </c>
      <c r="X10" s="0" t="n">
        <v>0</v>
      </c>
      <c r="Y10" s="0" t="s">
        <v>60</v>
      </c>
      <c r="Z10" s="0" t="n">
        <v>0.0017539679088804</v>
      </c>
      <c r="AA10" s="0" t="n">
        <v>0.0003579136005392</v>
      </c>
      <c r="AB10" s="0" t="s">
        <v>58</v>
      </c>
      <c r="AC10" s="0" t="s">
        <v>58</v>
      </c>
      <c r="AD10" s="0" t="s">
        <v>58</v>
      </c>
      <c r="AE10" s="6" t="b">
        <f aca="false">FALSE()</f>
        <v>0</v>
      </c>
      <c r="AG10" s="6" t="b">
        <f aca="false">TRUE()</f>
        <v>1</v>
      </c>
      <c r="AH10" s="6" t="b">
        <f aca="false">TRUE()</f>
        <v>1</v>
      </c>
    </row>
    <row r="11" customFormat="false" ht="15" hidden="false" customHeight="false" outlineLevel="0" collapsed="false">
      <c r="A11" s="7" t="s">
        <v>49</v>
      </c>
      <c r="B11" s="0" t="s">
        <v>69</v>
      </c>
      <c r="C11" s="6" t="b">
        <f aca="false">FALSE()</f>
        <v>0</v>
      </c>
      <c r="D11" s="0" t="n">
        <v>0</v>
      </c>
      <c r="F11" s="0" t="n">
        <v>0</v>
      </c>
      <c r="G11" s="0" t="n">
        <v>0</v>
      </c>
      <c r="H11" s="6" t="b">
        <f aca="false">FALSE()</f>
        <v>0</v>
      </c>
      <c r="L11" s="0" t="n">
        <v>3</v>
      </c>
      <c r="Q11" s="0" t="n">
        <v>64</v>
      </c>
      <c r="R11" s="0" t="n">
        <v>8</v>
      </c>
      <c r="S11" s="0" t="n">
        <v>2.03493133207905</v>
      </c>
      <c r="T11" s="0" t="n">
        <v>0</v>
      </c>
      <c r="U11" s="0" t="s">
        <v>51</v>
      </c>
      <c r="V11" s="0" t="n">
        <v>0.333826000665918</v>
      </c>
      <c r="W11" s="0" t="n">
        <v>0.0889173933644226</v>
      </c>
      <c r="X11" s="0" t="n">
        <v>1</v>
      </c>
      <c r="Y11" s="0" t="s">
        <v>52</v>
      </c>
      <c r="Z11" s="0" t="n">
        <v>0.0047157148830305</v>
      </c>
      <c r="AA11" s="0" t="n">
        <v>1.7512804274119E-005</v>
      </c>
      <c r="AB11" s="0" t="s">
        <v>65</v>
      </c>
      <c r="AC11" s="0" t="s">
        <v>54</v>
      </c>
      <c r="AD11" s="0" t="s">
        <v>54</v>
      </c>
      <c r="AE11" s="6" t="b">
        <f aca="false">TRUE()</f>
        <v>1</v>
      </c>
      <c r="AF11" s="0" t="n">
        <v>1.90104768048193</v>
      </c>
      <c r="AG11" s="6" t="b">
        <f aca="false">FALSE()</f>
        <v>0</v>
      </c>
      <c r="AH11" s="6" t="b">
        <f aca="false">FALSE()</f>
        <v>0</v>
      </c>
    </row>
    <row r="12" customFormat="false" ht="15" hidden="false" customHeight="false" outlineLevel="0" collapsed="false">
      <c r="A12" s="7" t="s">
        <v>49</v>
      </c>
      <c r="B12" s="0" t="s">
        <v>70</v>
      </c>
      <c r="C12" s="6" t="b">
        <f aca="false">FALSE()</f>
        <v>0</v>
      </c>
      <c r="D12" s="0" t="n">
        <v>0</v>
      </c>
      <c r="F12" s="0" t="n">
        <v>0</v>
      </c>
      <c r="G12" s="0" t="n">
        <v>0</v>
      </c>
      <c r="H12" s="6" t="b">
        <f aca="false">FALSE()</f>
        <v>0</v>
      </c>
      <c r="L12" s="0" t="n">
        <v>2</v>
      </c>
      <c r="Q12" s="0" t="n">
        <v>64</v>
      </c>
      <c r="R12" s="0" t="n">
        <v>16</v>
      </c>
      <c r="S12" s="0" t="n">
        <v>2.47230709122187</v>
      </c>
      <c r="T12" s="0" t="n">
        <v>0</v>
      </c>
      <c r="U12" s="0" t="s">
        <v>56</v>
      </c>
      <c r="V12" s="0" t="n">
        <v>0.559184263750866</v>
      </c>
      <c r="W12" s="0" t="n">
        <v>0.11561502873045</v>
      </c>
      <c r="X12" s="0" t="n">
        <v>1</v>
      </c>
      <c r="Y12" s="0" t="s">
        <v>52</v>
      </c>
      <c r="Z12" s="0" t="n">
        <v>0.0010634767122051</v>
      </c>
      <c r="AA12" s="0" t="n">
        <v>1.52928546369682E-006</v>
      </c>
      <c r="AB12" s="0" t="s">
        <v>53</v>
      </c>
      <c r="AC12" s="0" t="s">
        <v>61</v>
      </c>
      <c r="AD12" s="0" t="s">
        <v>61</v>
      </c>
      <c r="AE12" s="6" t="b">
        <f aca="false">TRUE()</f>
        <v>1</v>
      </c>
      <c r="AG12" s="6" t="b">
        <f aca="false">FALSE()</f>
        <v>0</v>
      </c>
      <c r="AH12" s="6" t="b">
        <f aca="false">TRUE()</f>
        <v>1</v>
      </c>
    </row>
    <row r="13" customFormat="false" ht="15" hidden="false" customHeight="false" outlineLevel="0" collapsed="false">
      <c r="A13" s="5" t="s">
        <v>49</v>
      </c>
      <c r="B13" s="0" t="s">
        <v>71</v>
      </c>
      <c r="C13" s="6" t="b">
        <f aca="false">TRUE()</f>
        <v>1</v>
      </c>
      <c r="D13" s="0" t="n">
        <v>1</v>
      </c>
      <c r="E13" s="0" t="n">
        <v>0.0681818181818181</v>
      </c>
      <c r="F13" s="0" t="n">
        <v>0</v>
      </c>
      <c r="G13" s="0" t="n">
        <v>8</v>
      </c>
      <c r="H13" s="6" t="b">
        <f aca="false">TRUE()</f>
        <v>1</v>
      </c>
      <c r="I13" s="0" t="n">
        <v>446987</v>
      </c>
      <c r="J13" s="0" t="n">
        <v>221312</v>
      </c>
      <c r="K13" s="0" t="n">
        <v>634055936</v>
      </c>
      <c r="L13" s="0" t="n">
        <v>2</v>
      </c>
      <c r="Q13" s="0" t="n">
        <v>64</v>
      </c>
      <c r="R13" s="0" t="n">
        <v>16</v>
      </c>
      <c r="S13" s="0" t="n">
        <v>2.66675605845736</v>
      </c>
      <c r="T13" s="0" t="n">
        <v>1</v>
      </c>
      <c r="U13" s="0" t="s">
        <v>51</v>
      </c>
      <c r="V13" s="0" t="n">
        <v>0.0144833402865055</v>
      </c>
      <c r="W13" s="0" t="n">
        <v>0.195249655727717</v>
      </c>
      <c r="X13" s="0" t="n">
        <v>0</v>
      </c>
      <c r="Y13" s="0" t="s">
        <v>52</v>
      </c>
      <c r="Z13" s="0" t="n">
        <v>0.0001007936955311</v>
      </c>
      <c r="AA13" s="0" t="n">
        <v>2.0489482625207E-008</v>
      </c>
      <c r="AB13" s="0" t="s">
        <v>53</v>
      </c>
      <c r="AC13" s="0" t="s">
        <v>61</v>
      </c>
      <c r="AD13" s="0" t="s">
        <v>61</v>
      </c>
      <c r="AE13" s="6" t="b">
        <f aca="false">TRUE()</f>
        <v>1</v>
      </c>
      <c r="AG13" s="6" t="b">
        <f aca="false">FALSE()</f>
        <v>0</v>
      </c>
      <c r="AH13" s="6" t="b">
        <f aca="false">TRUE()</f>
        <v>1</v>
      </c>
    </row>
    <row r="14" customFormat="false" ht="15" hidden="false" customHeight="false" outlineLevel="0" collapsed="false">
      <c r="A14" s="7" t="s">
        <v>49</v>
      </c>
      <c r="B14" s="0" t="s">
        <v>72</v>
      </c>
      <c r="C14" s="6" t="b">
        <f aca="false">FALSE()</f>
        <v>0</v>
      </c>
      <c r="D14" s="0" t="n">
        <v>0</v>
      </c>
      <c r="F14" s="0" t="n">
        <v>0</v>
      </c>
      <c r="G14" s="0" t="n">
        <v>0</v>
      </c>
      <c r="H14" s="6" t="b">
        <f aca="false">FALSE()</f>
        <v>0</v>
      </c>
      <c r="L14" s="0" t="n">
        <v>5</v>
      </c>
      <c r="Q14" s="0" t="n">
        <v>64</v>
      </c>
      <c r="R14" s="0" t="n">
        <v>8</v>
      </c>
      <c r="S14" s="0" t="n">
        <v>3.41766632663764</v>
      </c>
      <c r="T14" s="0" t="n">
        <v>1</v>
      </c>
      <c r="U14" s="0" t="s">
        <v>51</v>
      </c>
      <c r="V14" s="0" t="n">
        <v>0.0709070137626308</v>
      </c>
      <c r="W14" s="0" t="n">
        <v>0.0057209839861313</v>
      </c>
      <c r="X14" s="0" t="n">
        <v>5</v>
      </c>
      <c r="Y14" s="0" t="s">
        <v>60</v>
      </c>
      <c r="Z14" s="0" t="n">
        <v>0.0019202630386793</v>
      </c>
      <c r="AA14" s="0" t="n">
        <v>0.0990929212836029</v>
      </c>
      <c r="AB14" s="0" t="s">
        <v>53</v>
      </c>
      <c r="AC14" s="0" t="s">
        <v>61</v>
      </c>
      <c r="AD14" s="0" t="s">
        <v>61</v>
      </c>
      <c r="AE14" s="6" t="b">
        <f aca="false">TRUE()</f>
        <v>1</v>
      </c>
      <c r="AG14" s="6" t="b">
        <f aca="false">FALSE()</f>
        <v>0</v>
      </c>
      <c r="AH14" s="6" t="b">
        <f aca="false">FALSE()</f>
        <v>0</v>
      </c>
    </row>
    <row r="15" customFormat="false" ht="15" hidden="false" customHeight="false" outlineLevel="0" collapsed="false">
      <c r="A15" s="7" t="s">
        <v>49</v>
      </c>
      <c r="B15" s="0" t="s">
        <v>73</v>
      </c>
      <c r="C15" s="6" t="b">
        <f aca="false">FALSE()</f>
        <v>0</v>
      </c>
      <c r="D15" s="0" t="n">
        <v>0</v>
      </c>
      <c r="F15" s="0" t="n">
        <v>0</v>
      </c>
      <c r="G15" s="0" t="n">
        <v>0</v>
      </c>
      <c r="H15" s="6" t="b">
        <f aca="false">FALSE()</f>
        <v>0</v>
      </c>
      <c r="L15" s="0" t="n">
        <v>5</v>
      </c>
      <c r="Q15" s="0" t="n">
        <v>64</v>
      </c>
      <c r="R15" s="0" t="n">
        <v>8</v>
      </c>
      <c r="S15" s="0" t="n">
        <v>3.3746596286169</v>
      </c>
      <c r="T15" s="0" t="n">
        <v>2</v>
      </c>
      <c r="U15" s="0" t="s">
        <v>56</v>
      </c>
      <c r="V15" s="0" t="n">
        <v>0.0162526081586544</v>
      </c>
      <c r="W15" s="0" t="n">
        <v>0.0026865086243132</v>
      </c>
      <c r="X15" s="0" t="n">
        <v>5</v>
      </c>
      <c r="Y15" s="0" t="s">
        <v>60</v>
      </c>
      <c r="Z15" s="0" t="n">
        <v>0.0020760140992702</v>
      </c>
      <c r="AA15" s="0" t="n">
        <v>0.050913944780426</v>
      </c>
      <c r="AB15" s="0" t="s">
        <v>53</v>
      </c>
      <c r="AC15" s="0" t="s">
        <v>61</v>
      </c>
      <c r="AD15" s="0" t="s">
        <v>61</v>
      </c>
      <c r="AE15" s="6" t="b">
        <f aca="false">TRUE()</f>
        <v>1</v>
      </c>
      <c r="AG15" s="6" t="b">
        <f aca="false">FALSE()</f>
        <v>0</v>
      </c>
      <c r="AH15" s="6" t="b">
        <f aca="false">FALSE()</f>
        <v>0</v>
      </c>
    </row>
    <row r="16" customFormat="false" ht="15" hidden="false" customHeight="false" outlineLevel="0" collapsed="false">
      <c r="A16" s="7" t="s">
        <v>49</v>
      </c>
      <c r="B16" s="0" t="s">
        <v>74</v>
      </c>
      <c r="C16" s="6" t="b">
        <f aca="false">FALSE()</f>
        <v>0</v>
      </c>
      <c r="D16" s="0" t="n">
        <v>0</v>
      </c>
      <c r="F16" s="0" t="n">
        <v>0</v>
      </c>
      <c r="G16" s="0" t="n">
        <v>0</v>
      </c>
      <c r="H16" s="6" t="b">
        <f aca="false">FALSE()</f>
        <v>0</v>
      </c>
      <c r="L16" s="0" t="n">
        <v>4</v>
      </c>
      <c r="Q16" s="0" t="n">
        <v>64</v>
      </c>
      <c r="R16" s="0" t="n">
        <v>8</v>
      </c>
      <c r="S16" s="0" t="n">
        <v>3.79390089643558</v>
      </c>
      <c r="T16" s="0" t="n">
        <v>2</v>
      </c>
      <c r="U16" s="0" t="s">
        <v>56</v>
      </c>
      <c r="V16" s="0" t="n">
        <v>0.445109896180749</v>
      </c>
      <c r="W16" s="0" t="n">
        <v>0.0394138169248148</v>
      </c>
      <c r="X16" s="0" t="n">
        <v>5</v>
      </c>
      <c r="Y16" s="0" t="s">
        <v>60</v>
      </c>
      <c r="Z16" s="0" t="n">
        <v>0.0022745976851816</v>
      </c>
      <c r="AA16" s="0" t="n">
        <v>0.0055101058053574</v>
      </c>
      <c r="AB16" s="0" t="s">
        <v>57</v>
      </c>
      <c r="AC16" s="0" t="s">
        <v>61</v>
      </c>
      <c r="AD16" s="0" t="s">
        <v>61</v>
      </c>
      <c r="AE16" s="6" t="b">
        <f aca="false">TRUE()</f>
        <v>1</v>
      </c>
      <c r="AG16" s="6" t="b">
        <f aca="false">FALSE()</f>
        <v>0</v>
      </c>
      <c r="AH16" s="6" t="b">
        <f aca="false">FALSE()</f>
        <v>0</v>
      </c>
    </row>
    <row r="17" customFormat="false" ht="15" hidden="false" customHeight="false" outlineLevel="0" collapsed="false">
      <c r="A17" s="5" t="s">
        <v>75</v>
      </c>
      <c r="B17" s="0" t="s">
        <v>76</v>
      </c>
      <c r="C17" s="6" t="b">
        <f aca="false">TRUE()</f>
        <v>1</v>
      </c>
      <c r="D17" s="0" t="n">
        <v>1</v>
      </c>
      <c r="E17" s="0" t="n">
        <v>0.346590909090909</v>
      </c>
      <c r="F17" s="0" t="n">
        <v>1</v>
      </c>
      <c r="G17" s="0" t="n">
        <v>40</v>
      </c>
      <c r="H17" s="6" t="b">
        <f aca="false">FALSE()</f>
        <v>0</v>
      </c>
      <c r="I17" s="0" t="n">
        <v>57035</v>
      </c>
      <c r="J17" s="0" t="n">
        <v>3332032</v>
      </c>
      <c r="K17" s="0" t="n">
        <v>45148864</v>
      </c>
      <c r="L17" s="0" t="n">
        <v>3</v>
      </c>
      <c r="M17" s="0" t="n">
        <v>256</v>
      </c>
      <c r="N17" s="0" t="n">
        <v>5</v>
      </c>
      <c r="O17" s="0" t="s">
        <v>30</v>
      </c>
      <c r="P17" s="0" t="n">
        <v>2</v>
      </c>
      <c r="Q17" s="0" t="n">
        <v>32</v>
      </c>
      <c r="R17" s="0" t="n">
        <v>8</v>
      </c>
      <c r="S17" s="0" t="n">
        <v>2.63233060580065</v>
      </c>
      <c r="T17" s="0" t="n">
        <v>2</v>
      </c>
      <c r="U17" s="0" t="s">
        <v>56</v>
      </c>
      <c r="V17" s="0" t="n">
        <v>0.287099296098333</v>
      </c>
      <c r="W17" s="0" t="n">
        <v>0.163783611973683</v>
      </c>
      <c r="X17" s="0" t="n">
        <v>1</v>
      </c>
      <c r="Y17" s="0" t="s">
        <v>60</v>
      </c>
      <c r="Z17" s="0" t="n">
        <v>0.0006568172869394</v>
      </c>
      <c r="AA17" s="0" t="n">
        <v>2.48188048360007E-006</v>
      </c>
      <c r="AB17" s="0" t="s">
        <v>57</v>
      </c>
      <c r="AD17" s="0" t="s">
        <v>58</v>
      </c>
      <c r="AE17" s="6" t="b">
        <f aca="false">FALSE()</f>
        <v>0</v>
      </c>
    </row>
    <row r="18" customFormat="false" ht="15" hidden="false" customHeight="false" outlineLevel="0" collapsed="false">
      <c r="A18" s="5" t="s">
        <v>75</v>
      </c>
      <c r="B18" s="0" t="s">
        <v>77</v>
      </c>
      <c r="C18" s="6" t="b">
        <f aca="false">TRUE()</f>
        <v>1</v>
      </c>
      <c r="D18" s="0" t="n">
        <v>1</v>
      </c>
      <c r="E18" s="0" t="n">
        <v>0.676136363636364</v>
      </c>
      <c r="F18" s="0" t="n">
        <v>1</v>
      </c>
      <c r="G18" s="0" t="n">
        <v>40</v>
      </c>
      <c r="H18" s="6" t="b">
        <f aca="false">FALSE()</f>
        <v>0</v>
      </c>
      <c r="I18" s="0" t="n">
        <v>140171</v>
      </c>
      <c r="J18" s="0" t="n">
        <v>1237376</v>
      </c>
      <c r="K18" s="0" t="n">
        <v>85633408</v>
      </c>
      <c r="L18" s="0" t="n">
        <v>3</v>
      </c>
      <c r="M18" s="0" t="n">
        <v>128</v>
      </c>
      <c r="N18" s="0" t="n">
        <v>5</v>
      </c>
      <c r="O18" s="0" t="s">
        <v>30</v>
      </c>
      <c r="P18" s="0" t="n">
        <v>2</v>
      </c>
      <c r="Q18" s="0" t="n">
        <v>64</v>
      </c>
      <c r="R18" s="0" t="n">
        <v>8</v>
      </c>
      <c r="S18" s="0" t="n">
        <v>2.50056414121965</v>
      </c>
      <c r="T18" s="0" t="n">
        <v>1</v>
      </c>
      <c r="U18" s="0" t="s">
        <v>56</v>
      </c>
      <c r="V18" s="0" t="n">
        <v>0.594127197702506</v>
      </c>
      <c r="W18" s="0" t="n">
        <v>0.0431884120150979</v>
      </c>
      <c r="X18" s="0" t="n">
        <v>1</v>
      </c>
      <c r="Y18" s="0" t="s">
        <v>52</v>
      </c>
      <c r="Z18" s="0" t="n">
        <v>0.0013820217468199</v>
      </c>
      <c r="AA18" s="0" t="n">
        <v>0.0001639091281263</v>
      </c>
      <c r="AB18" s="0" t="s">
        <v>58</v>
      </c>
      <c r="AD18" s="0" t="s">
        <v>61</v>
      </c>
      <c r="AE18" s="6" t="b">
        <f aca="false">TRUE()</f>
        <v>1</v>
      </c>
    </row>
    <row r="19" customFormat="false" ht="15" hidden="false" customHeight="false" outlineLevel="0" collapsed="false">
      <c r="A19" s="7" t="s">
        <v>75</v>
      </c>
      <c r="B19" s="0" t="s">
        <v>78</v>
      </c>
      <c r="C19" s="6" t="b">
        <f aca="false">FALSE()</f>
        <v>0</v>
      </c>
      <c r="D19" s="0" t="n">
        <v>0</v>
      </c>
      <c r="F19" s="0" t="n">
        <v>0</v>
      </c>
      <c r="G19" s="0" t="n">
        <v>0</v>
      </c>
      <c r="H19" s="6" t="b">
        <f aca="false">FALSE()</f>
        <v>0</v>
      </c>
      <c r="L19" s="0" t="n">
        <v>2</v>
      </c>
      <c r="M19" s="0" t="n">
        <v>128</v>
      </c>
      <c r="N19" s="0" t="n">
        <v>3</v>
      </c>
      <c r="O19" s="0" t="s">
        <v>79</v>
      </c>
      <c r="Q19" s="0" t="n">
        <v>32</v>
      </c>
      <c r="R19" s="0" t="n">
        <v>8</v>
      </c>
      <c r="S19" s="0" t="n">
        <v>1.68832477924825</v>
      </c>
      <c r="T19" s="0" t="n">
        <v>0</v>
      </c>
      <c r="U19" s="0" t="s">
        <v>56</v>
      </c>
      <c r="V19" s="0" t="n">
        <v>0.311217235667962</v>
      </c>
      <c r="W19" s="0" t="n">
        <v>0.0067349752021264</v>
      </c>
      <c r="X19" s="0" t="n">
        <v>5</v>
      </c>
      <c r="Y19" s="0" t="s">
        <v>52</v>
      </c>
      <c r="Z19" s="0" t="n">
        <v>0.0001705911713988</v>
      </c>
      <c r="AA19" s="0" t="n">
        <v>0.0001632690516709</v>
      </c>
      <c r="AB19" s="0" t="s">
        <v>53</v>
      </c>
      <c r="AD19" s="0" t="s">
        <v>61</v>
      </c>
      <c r="AE19" s="6" t="b">
        <f aca="false">TRUE()</f>
        <v>1</v>
      </c>
    </row>
    <row r="20" customFormat="false" ht="15" hidden="false" customHeight="false" outlineLevel="0" collapsed="false">
      <c r="A20" s="7" t="s">
        <v>75</v>
      </c>
      <c r="B20" s="0" t="s">
        <v>80</v>
      </c>
      <c r="C20" s="6" t="b">
        <f aca="false">FALSE()</f>
        <v>0</v>
      </c>
      <c r="D20" s="0" t="n">
        <v>0</v>
      </c>
      <c r="F20" s="0" t="n">
        <v>0</v>
      </c>
      <c r="G20" s="0" t="n">
        <v>0</v>
      </c>
      <c r="H20" s="6" t="b">
        <f aca="false">FALSE()</f>
        <v>0</v>
      </c>
      <c r="L20" s="0" t="n">
        <v>2</v>
      </c>
      <c r="M20" s="0" t="n">
        <v>128</v>
      </c>
      <c r="N20" s="0" t="n">
        <v>5</v>
      </c>
      <c r="O20" s="0" t="s">
        <v>79</v>
      </c>
      <c r="Q20" s="0" t="n">
        <v>32</v>
      </c>
      <c r="R20" s="0" t="n">
        <v>8</v>
      </c>
      <c r="S20" s="0" t="n">
        <v>3.47672202119891</v>
      </c>
      <c r="T20" s="0" t="n">
        <v>3</v>
      </c>
      <c r="U20" s="0" t="s">
        <v>56</v>
      </c>
      <c r="V20" s="0" t="n">
        <v>0.330124577281979</v>
      </c>
      <c r="W20" s="0" t="n">
        <v>0.072724501699968</v>
      </c>
      <c r="X20" s="0" t="n">
        <v>1</v>
      </c>
      <c r="Y20" s="0" t="s">
        <v>60</v>
      </c>
      <c r="Z20" s="0" t="n">
        <v>0.0027213370081272</v>
      </c>
      <c r="AA20" s="0" t="n">
        <v>1.54583868145337E-005</v>
      </c>
      <c r="AB20" s="0" t="s">
        <v>58</v>
      </c>
      <c r="AD20" s="0" t="s">
        <v>61</v>
      </c>
      <c r="AE20" s="6" t="b">
        <f aca="false">TRUE()</f>
        <v>1</v>
      </c>
    </row>
    <row r="21" customFormat="false" ht="15" hidden="false" customHeight="false" outlineLevel="0" collapsed="false">
      <c r="A21" s="5" t="s">
        <v>75</v>
      </c>
      <c r="B21" s="0" t="s">
        <v>81</v>
      </c>
      <c r="C21" s="6" t="b">
        <f aca="false">TRUE()</f>
        <v>1</v>
      </c>
      <c r="D21" s="0" t="n">
        <v>1</v>
      </c>
      <c r="E21" s="0" t="n">
        <v>0.142045454545455</v>
      </c>
      <c r="F21" s="0" t="n">
        <v>1</v>
      </c>
      <c r="G21" s="0" t="n">
        <v>8</v>
      </c>
      <c r="H21" s="6" t="b">
        <f aca="false">TRUE()</f>
        <v>1</v>
      </c>
      <c r="I21" s="0" t="n">
        <v>43787</v>
      </c>
      <c r="J21" s="0" t="n">
        <v>122112</v>
      </c>
      <c r="K21" s="0" t="n">
        <v>10403712</v>
      </c>
      <c r="L21" s="0" t="n">
        <v>5</v>
      </c>
      <c r="M21" s="0" t="n">
        <v>32</v>
      </c>
      <c r="N21" s="0" t="n">
        <v>5</v>
      </c>
      <c r="O21" s="0" t="s">
        <v>79</v>
      </c>
      <c r="Q21" s="0" t="n">
        <v>32</v>
      </c>
      <c r="R21" s="0" t="n">
        <v>16</v>
      </c>
      <c r="S21" s="0" t="n">
        <v>3.97755448472037</v>
      </c>
      <c r="T21" s="0" t="n">
        <v>1</v>
      </c>
      <c r="U21" s="0" t="s">
        <v>56</v>
      </c>
      <c r="V21" s="0" t="n">
        <v>0.0091039158212059</v>
      </c>
      <c r="W21" s="0" t="n">
        <v>0.172588406265025</v>
      </c>
      <c r="X21" s="0" t="n">
        <v>1</v>
      </c>
      <c r="Y21" s="0" t="s">
        <v>60</v>
      </c>
      <c r="Z21" s="0" t="n">
        <v>0.0014322973463809</v>
      </c>
      <c r="AA21" s="0" t="n">
        <v>0.0313814756208924</v>
      </c>
      <c r="AB21" s="0" t="s">
        <v>65</v>
      </c>
      <c r="AD21" s="0" t="s">
        <v>61</v>
      </c>
      <c r="AE21" s="6" t="b">
        <f aca="false">TRUE()</f>
        <v>1</v>
      </c>
    </row>
    <row r="22" customFormat="false" ht="15" hidden="false" customHeight="false" outlineLevel="0" collapsed="false">
      <c r="A22" s="7" t="s">
        <v>75</v>
      </c>
      <c r="B22" s="0" t="s">
        <v>82</v>
      </c>
      <c r="C22" s="6" t="b">
        <f aca="false">FALSE()</f>
        <v>0</v>
      </c>
      <c r="D22" s="0" t="n">
        <v>0</v>
      </c>
      <c r="F22" s="0" t="n">
        <v>0</v>
      </c>
      <c r="G22" s="0" t="n">
        <v>0</v>
      </c>
      <c r="H22" s="6" t="b">
        <f aca="false">FALSE()</f>
        <v>0</v>
      </c>
      <c r="L22" s="0" t="n">
        <v>2</v>
      </c>
      <c r="M22" s="0" t="n">
        <v>128</v>
      </c>
      <c r="N22" s="0" t="n">
        <v>7</v>
      </c>
      <c r="O22" s="0" t="s">
        <v>30</v>
      </c>
      <c r="P22" s="0" t="n">
        <v>1</v>
      </c>
      <c r="Q22" s="0" t="n">
        <v>32</v>
      </c>
      <c r="R22" s="0" t="n">
        <v>8</v>
      </c>
      <c r="S22" s="0" t="n">
        <v>2.74899819436336</v>
      </c>
      <c r="T22" s="0" t="n">
        <v>2</v>
      </c>
      <c r="U22" s="0" t="s">
        <v>56</v>
      </c>
      <c r="V22" s="0" t="n">
        <v>0.517742284560809</v>
      </c>
      <c r="W22" s="0" t="n">
        <v>0.139789185437629</v>
      </c>
      <c r="X22" s="0" t="n">
        <v>5</v>
      </c>
      <c r="Y22" s="0" t="s">
        <v>60</v>
      </c>
      <c r="Z22" s="0" t="n">
        <v>0.0018233703080312</v>
      </c>
      <c r="AA22" s="0" t="n">
        <v>9.86853157064773E-006</v>
      </c>
      <c r="AB22" s="0" t="s">
        <v>57</v>
      </c>
      <c r="AD22" s="0" t="s">
        <v>61</v>
      </c>
      <c r="AE22" s="6" t="b">
        <f aca="false">TRUE()</f>
        <v>1</v>
      </c>
    </row>
    <row r="23" customFormat="false" ht="15" hidden="false" customHeight="false" outlineLevel="0" collapsed="false">
      <c r="A23" s="5" t="s">
        <v>75</v>
      </c>
      <c r="B23" s="0" t="s">
        <v>83</v>
      </c>
      <c r="C23" s="6" t="b">
        <f aca="false">TRUE()</f>
        <v>1</v>
      </c>
      <c r="D23" s="0" t="n">
        <v>1</v>
      </c>
      <c r="E23" s="0" t="n">
        <v>0.6875</v>
      </c>
      <c r="F23" s="0" t="n">
        <v>1</v>
      </c>
      <c r="G23" s="0" t="n">
        <v>40</v>
      </c>
      <c r="H23" s="6" t="b">
        <f aca="false">FALSE()</f>
        <v>0</v>
      </c>
      <c r="I23" s="0" t="n">
        <v>344395</v>
      </c>
      <c r="J23" s="0" t="n">
        <v>489728</v>
      </c>
      <c r="K23" s="0" t="n">
        <v>144804608</v>
      </c>
      <c r="L23" s="0" t="n">
        <v>3</v>
      </c>
      <c r="M23" s="0" t="n">
        <v>64</v>
      </c>
      <c r="N23" s="0" t="n">
        <v>5</v>
      </c>
      <c r="O23" s="0" t="s">
        <v>79</v>
      </c>
      <c r="Q23" s="0" t="n">
        <v>64</v>
      </c>
      <c r="R23" s="0" t="n">
        <v>8</v>
      </c>
      <c r="S23" s="0" t="n">
        <v>1.66448994754031</v>
      </c>
      <c r="T23" s="0" t="n">
        <v>2</v>
      </c>
      <c r="U23" s="0" t="s">
        <v>56</v>
      </c>
      <c r="V23" s="0" t="n">
        <v>0.367356473318081</v>
      </c>
      <c r="W23" s="0" t="n">
        <v>0.002165415952336</v>
      </c>
      <c r="X23" s="0" t="n">
        <v>0</v>
      </c>
      <c r="Y23" s="0" t="s">
        <v>60</v>
      </c>
      <c r="Z23" s="0" t="n">
        <v>0.0003851099079117</v>
      </c>
      <c r="AA23" s="0" t="n">
        <v>7.56233495978402E-005</v>
      </c>
      <c r="AB23" s="0" t="s">
        <v>53</v>
      </c>
      <c r="AD23" s="0" t="s">
        <v>61</v>
      </c>
      <c r="AE23" s="6" t="b">
        <f aca="false">TRUE()</f>
        <v>1</v>
      </c>
    </row>
    <row r="24" customFormat="false" ht="15" hidden="false" customHeight="false" outlineLevel="0" collapsed="false">
      <c r="A24" s="5" t="s">
        <v>75</v>
      </c>
      <c r="B24" s="0" t="s">
        <v>84</v>
      </c>
      <c r="C24" s="6" t="b">
        <f aca="false">TRUE()</f>
        <v>1</v>
      </c>
      <c r="D24" s="0" t="n">
        <v>1</v>
      </c>
      <c r="E24" s="0" t="n">
        <v>0.0681818181818181</v>
      </c>
      <c r="F24" s="0" t="n">
        <v>0</v>
      </c>
      <c r="G24" s="0" t="n">
        <v>8</v>
      </c>
      <c r="H24" s="6" t="b">
        <f aca="false">TRUE()</f>
        <v>1</v>
      </c>
      <c r="I24" s="0" t="n">
        <v>18827</v>
      </c>
      <c r="J24" s="0" t="n">
        <v>247808</v>
      </c>
      <c r="K24" s="0" t="n">
        <v>2570048</v>
      </c>
      <c r="L24" s="0" t="n">
        <v>3</v>
      </c>
      <c r="M24" s="0" t="n">
        <v>64</v>
      </c>
      <c r="N24" s="0" t="n">
        <v>3</v>
      </c>
      <c r="O24" s="0" t="s">
        <v>30</v>
      </c>
      <c r="P24" s="0" t="n">
        <v>2</v>
      </c>
      <c r="Q24" s="0" t="n">
        <v>32</v>
      </c>
      <c r="R24" s="0" t="n">
        <v>16</v>
      </c>
      <c r="S24" s="0" t="n">
        <v>2.78510093315892</v>
      </c>
      <c r="T24" s="0" t="n">
        <v>3</v>
      </c>
      <c r="U24" s="0" t="s">
        <v>56</v>
      </c>
      <c r="V24" s="0" t="n">
        <v>0.542503848154299</v>
      </c>
      <c r="W24" s="0" t="n">
        <v>0.0821366099696438</v>
      </c>
      <c r="X24" s="0" t="n">
        <v>5</v>
      </c>
      <c r="Y24" s="0" t="s">
        <v>52</v>
      </c>
      <c r="Z24" s="0" t="n">
        <v>0.0001574051723328</v>
      </c>
      <c r="AA24" s="0" t="n">
        <v>3.42524614056721E-005</v>
      </c>
      <c r="AB24" s="0" t="s">
        <v>57</v>
      </c>
      <c r="AD24" s="0" t="s">
        <v>58</v>
      </c>
      <c r="AE24" s="6" t="b">
        <f aca="false">FALSE()</f>
        <v>0</v>
      </c>
    </row>
    <row r="25" customFormat="false" ht="15" hidden="false" customHeight="false" outlineLevel="0" collapsed="false">
      <c r="A25" s="5" t="s">
        <v>75</v>
      </c>
      <c r="B25" s="0" t="s">
        <v>85</v>
      </c>
      <c r="C25" s="6" t="b">
        <f aca="false">TRUE()</f>
        <v>1</v>
      </c>
      <c r="D25" s="0" t="n">
        <v>1</v>
      </c>
      <c r="E25" s="0" t="n">
        <v>0.0681818181818181</v>
      </c>
      <c r="F25" s="0" t="n">
        <v>0</v>
      </c>
      <c r="G25" s="0" t="n">
        <v>8</v>
      </c>
      <c r="H25" s="6" t="b">
        <f aca="false">TRUE()</f>
        <v>1</v>
      </c>
      <c r="I25" s="0" t="n">
        <v>348939</v>
      </c>
      <c r="J25" s="0" t="n">
        <v>510848</v>
      </c>
      <c r="K25" s="0" t="n">
        <v>55010816</v>
      </c>
      <c r="L25" s="0" t="n">
        <v>4</v>
      </c>
      <c r="M25" s="0" t="n">
        <v>64</v>
      </c>
      <c r="N25" s="0" t="n">
        <v>3</v>
      </c>
      <c r="O25" s="0" t="s">
        <v>79</v>
      </c>
      <c r="Q25" s="0" t="n">
        <v>64</v>
      </c>
      <c r="R25" s="0" t="n">
        <v>16</v>
      </c>
      <c r="S25" s="0" t="n">
        <v>2.54295723544331</v>
      </c>
      <c r="T25" s="0" t="n">
        <v>2</v>
      </c>
      <c r="U25" s="0" t="s">
        <v>56</v>
      </c>
      <c r="V25" s="0" t="n">
        <v>0.523266059527101</v>
      </c>
      <c r="W25" s="0" t="n">
        <v>0.0465986929724895</v>
      </c>
      <c r="X25" s="0" t="n">
        <v>5</v>
      </c>
      <c r="Y25" s="0" t="s">
        <v>60</v>
      </c>
      <c r="Z25" s="0" t="n">
        <v>0.0039903304652307</v>
      </c>
      <c r="AA25" s="0" t="n">
        <v>0.0023941675106423</v>
      </c>
      <c r="AB25" s="0" t="s">
        <v>57</v>
      </c>
      <c r="AD25" s="0" t="s">
        <v>58</v>
      </c>
      <c r="AE25" s="6" t="b">
        <f aca="false">FALSE()</f>
        <v>0</v>
      </c>
    </row>
    <row r="26" customFormat="false" ht="15" hidden="false" customHeight="false" outlineLevel="0" collapsed="false">
      <c r="A26" s="7" t="s">
        <v>75</v>
      </c>
      <c r="B26" s="0" t="s">
        <v>86</v>
      </c>
      <c r="C26" s="6" t="b">
        <f aca="false">FALSE()</f>
        <v>0</v>
      </c>
      <c r="D26" s="0" t="n">
        <v>0</v>
      </c>
      <c r="F26" s="0" t="n">
        <v>0</v>
      </c>
      <c r="G26" s="0" t="n">
        <v>0</v>
      </c>
      <c r="H26" s="6" t="b">
        <f aca="false">FALSE()</f>
        <v>0</v>
      </c>
      <c r="L26" s="0" t="n">
        <v>2</v>
      </c>
      <c r="M26" s="0" t="n">
        <v>64</v>
      </c>
      <c r="N26" s="0" t="n">
        <v>5</v>
      </c>
      <c r="O26" s="0" t="s">
        <v>79</v>
      </c>
      <c r="Q26" s="0" t="n">
        <v>64</v>
      </c>
      <c r="R26" s="0" t="n">
        <v>8</v>
      </c>
      <c r="S26" s="0" t="n">
        <v>3.18388605997088</v>
      </c>
      <c r="T26" s="0" t="n">
        <v>1</v>
      </c>
      <c r="U26" s="0" t="s">
        <v>56</v>
      </c>
      <c r="V26" s="0" t="n">
        <v>0.0165660765770042</v>
      </c>
      <c r="W26" s="0" t="n">
        <v>0.146725611981237</v>
      </c>
      <c r="X26" s="0" t="n">
        <v>0</v>
      </c>
      <c r="Y26" s="0" t="s">
        <v>52</v>
      </c>
      <c r="Z26" s="0" t="n">
        <v>0.0001061404622399</v>
      </c>
      <c r="AA26" s="0" t="n">
        <v>2.19448908158209E-005</v>
      </c>
      <c r="AB26" s="0" t="s">
        <v>58</v>
      </c>
      <c r="AD26" s="0" t="s">
        <v>58</v>
      </c>
      <c r="AE26" s="6" t="b">
        <f aca="false">FALSE()</f>
        <v>0</v>
      </c>
    </row>
    <row r="27" customFormat="false" ht="15" hidden="false" customHeight="false" outlineLevel="0" collapsed="false">
      <c r="A27" s="7" t="s">
        <v>75</v>
      </c>
      <c r="B27" s="0" t="s">
        <v>87</v>
      </c>
      <c r="C27" s="6" t="b">
        <f aca="false">FALSE()</f>
        <v>0</v>
      </c>
      <c r="D27" s="0" t="n">
        <v>0</v>
      </c>
      <c r="F27" s="0" t="n">
        <v>0</v>
      </c>
      <c r="G27" s="0" t="n">
        <v>0</v>
      </c>
      <c r="H27" s="6" t="b">
        <f aca="false">FALSE()</f>
        <v>0</v>
      </c>
      <c r="L27" s="0" t="n">
        <v>5</v>
      </c>
      <c r="M27" s="0" t="n">
        <v>128</v>
      </c>
      <c r="N27" s="0" t="n">
        <v>7</v>
      </c>
      <c r="O27" s="0" t="s">
        <v>79</v>
      </c>
      <c r="Q27" s="0" t="n">
        <v>64</v>
      </c>
      <c r="R27" s="0" t="n">
        <v>8</v>
      </c>
      <c r="S27" s="0" t="n">
        <v>2.01122064397824</v>
      </c>
      <c r="T27" s="0" t="n">
        <v>0</v>
      </c>
      <c r="U27" s="0" t="s">
        <v>56</v>
      </c>
      <c r="V27" s="0" t="n">
        <v>0.515049053725947</v>
      </c>
      <c r="W27" s="0" t="n">
        <v>0.106242094371952</v>
      </c>
      <c r="X27" s="0" t="n">
        <v>5</v>
      </c>
      <c r="Y27" s="0" t="s">
        <v>52</v>
      </c>
      <c r="Z27" s="0" t="n">
        <v>0.0001467484152152</v>
      </c>
      <c r="AA27" s="0" t="n">
        <v>0.0001204304708497</v>
      </c>
      <c r="AB27" s="0" t="s">
        <v>57</v>
      </c>
      <c r="AD27" s="0" t="s">
        <v>61</v>
      </c>
      <c r="AE27" s="6" t="b">
        <f aca="false">TRUE()</f>
        <v>1</v>
      </c>
    </row>
    <row r="28" customFormat="false" ht="15" hidden="false" customHeight="false" outlineLevel="0" collapsed="false">
      <c r="A28" s="5" t="s">
        <v>75</v>
      </c>
      <c r="B28" s="0" t="s">
        <v>88</v>
      </c>
      <c r="C28" s="6" t="b">
        <f aca="false">TRUE()</f>
        <v>1</v>
      </c>
      <c r="D28" s="0" t="n">
        <v>1</v>
      </c>
      <c r="E28" s="0" t="n">
        <v>0.767045454545455</v>
      </c>
      <c r="F28" s="0" t="n">
        <v>1</v>
      </c>
      <c r="G28" s="0" t="n">
        <v>40</v>
      </c>
      <c r="H28" s="6" t="b">
        <f aca="false">FALSE()</f>
        <v>0</v>
      </c>
      <c r="I28" s="0" t="n">
        <v>32395</v>
      </c>
      <c r="J28" s="0" t="n">
        <v>207328</v>
      </c>
      <c r="K28" s="0" t="n">
        <v>11220640</v>
      </c>
      <c r="L28" s="0" t="n">
        <v>5</v>
      </c>
      <c r="M28" s="0" t="n">
        <v>32</v>
      </c>
      <c r="N28" s="0" t="n">
        <v>7</v>
      </c>
      <c r="O28" s="0" t="s">
        <v>30</v>
      </c>
      <c r="P28" s="0" t="n">
        <v>2</v>
      </c>
      <c r="Q28" s="0" t="n">
        <v>64</v>
      </c>
      <c r="R28" s="0" t="n">
        <v>16</v>
      </c>
      <c r="S28" s="0" t="n">
        <v>2.13848038297648</v>
      </c>
      <c r="T28" s="0" t="n">
        <v>0</v>
      </c>
      <c r="U28" s="0" t="s">
        <v>56</v>
      </c>
      <c r="V28" s="0" t="n">
        <v>0.127303036745381</v>
      </c>
      <c r="W28" s="0" t="n">
        <v>0.198642851794924</v>
      </c>
      <c r="X28" s="0" t="n">
        <v>1</v>
      </c>
      <c r="Y28" s="0" t="s">
        <v>52</v>
      </c>
      <c r="Z28" s="0" t="n">
        <v>0.0006253066251643</v>
      </c>
      <c r="AA28" s="0" t="n">
        <v>2.28304829238447E-008</v>
      </c>
      <c r="AB28" s="0" t="s">
        <v>58</v>
      </c>
      <c r="AD28" s="0" t="s">
        <v>61</v>
      </c>
      <c r="AE28" s="6" t="b">
        <f aca="false">TRUE()</f>
        <v>1</v>
      </c>
    </row>
    <row r="29" customFormat="false" ht="15" hidden="false" customHeight="false" outlineLevel="0" collapsed="false">
      <c r="A29" s="5" t="s">
        <v>75</v>
      </c>
      <c r="B29" s="0" t="s">
        <v>89</v>
      </c>
      <c r="C29" s="6" t="b">
        <f aca="false">TRUE()</f>
        <v>1</v>
      </c>
      <c r="D29" s="0" t="n">
        <v>1</v>
      </c>
      <c r="E29" s="0" t="n">
        <v>0.767045454545455</v>
      </c>
      <c r="F29" s="0" t="n">
        <v>1</v>
      </c>
      <c r="G29" s="0" t="n">
        <v>40</v>
      </c>
      <c r="H29" s="6" t="b">
        <f aca="false">FALSE()</f>
        <v>0</v>
      </c>
      <c r="I29" s="0" t="n">
        <v>280587</v>
      </c>
      <c r="J29" s="0" t="n">
        <v>6573568</v>
      </c>
      <c r="K29" s="0" t="n">
        <v>332652032</v>
      </c>
      <c r="L29" s="0" t="n">
        <v>3</v>
      </c>
      <c r="M29" s="0" t="n">
        <v>256</v>
      </c>
      <c r="N29" s="0" t="n">
        <v>5</v>
      </c>
      <c r="O29" s="0" t="s">
        <v>30</v>
      </c>
      <c r="P29" s="0" t="n">
        <v>2</v>
      </c>
      <c r="Q29" s="0" t="n">
        <v>64</v>
      </c>
      <c r="R29" s="0" t="n">
        <v>8</v>
      </c>
      <c r="S29" s="0" t="n">
        <v>1.52515986940033</v>
      </c>
      <c r="T29" s="0" t="n">
        <v>1</v>
      </c>
      <c r="U29" s="0" t="s">
        <v>56</v>
      </c>
      <c r="V29" s="0" t="n">
        <v>0.40869334058724</v>
      </c>
      <c r="W29" s="0" t="n">
        <v>2.33057130839473E-005</v>
      </c>
      <c r="X29" s="0" t="n">
        <v>0</v>
      </c>
      <c r="Y29" s="0" t="s">
        <v>52</v>
      </c>
      <c r="Z29" s="0" t="n">
        <v>0.0006928034319194</v>
      </c>
      <c r="AA29" s="0" t="n">
        <v>2.12154003406094E-008</v>
      </c>
      <c r="AB29" s="0" t="s">
        <v>53</v>
      </c>
      <c r="AD29" s="0" t="s">
        <v>61</v>
      </c>
      <c r="AE29" s="6" t="b">
        <f aca="false">TRUE()</f>
        <v>1</v>
      </c>
    </row>
    <row r="30" customFormat="false" ht="15" hidden="false" customHeight="false" outlineLevel="0" collapsed="false">
      <c r="A30" s="5" t="s">
        <v>75</v>
      </c>
      <c r="B30" s="0" t="s">
        <v>90</v>
      </c>
      <c r="C30" s="6" t="b">
        <f aca="false">TRUE()</f>
        <v>1</v>
      </c>
      <c r="D30" s="0" t="n">
        <v>1</v>
      </c>
      <c r="E30" s="0" t="n">
        <v>0.778409090909091</v>
      </c>
      <c r="F30" s="0" t="n">
        <v>1</v>
      </c>
      <c r="G30" s="0" t="n">
        <v>40</v>
      </c>
      <c r="H30" s="6" t="b">
        <f aca="false">FALSE()</f>
        <v>0</v>
      </c>
      <c r="I30" s="0" t="n">
        <v>32619</v>
      </c>
      <c r="J30" s="0" t="n">
        <v>307008</v>
      </c>
      <c r="K30" s="0" t="n">
        <v>10918976</v>
      </c>
      <c r="L30" s="0" t="n">
        <v>4</v>
      </c>
      <c r="M30" s="0" t="n">
        <v>32</v>
      </c>
      <c r="N30" s="0" t="n">
        <v>7</v>
      </c>
      <c r="O30" s="0" t="s">
        <v>30</v>
      </c>
      <c r="P30" s="0" t="n">
        <v>2</v>
      </c>
      <c r="Q30" s="0" t="n">
        <v>64</v>
      </c>
      <c r="R30" s="0" t="n">
        <v>16</v>
      </c>
      <c r="S30" s="0" t="n">
        <v>2.078295352014</v>
      </c>
      <c r="T30" s="0" t="n">
        <v>1</v>
      </c>
      <c r="U30" s="0" t="s">
        <v>56</v>
      </c>
      <c r="V30" s="0" t="n">
        <v>0.157943626508434</v>
      </c>
      <c r="W30" s="0" t="n">
        <v>0.186354553065224</v>
      </c>
      <c r="X30" s="0" t="n">
        <v>1</v>
      </c>
      <c r="Y30" s="0" t="s">
        <v>52</v>
      </c>
      <c r="Z30" s="0" t="n">
        <v>0.0007879047894068</v>
      </c>
      <c r="AA30" s="0" t="n">
        <v>2.64983518108902E-008</v>
      </c>
      <c r="AB30" s="0" t="s">
        <v>58</v>
      </c>
      <c r="AD30" s="0" t="s">
        <v>61</v>
      </c>
      <c r="AE30" s="6" t="b">
        <f aca="false">TRUE()</f>
        <v>1</v>
      </c>
    </row>
    <row r="31" customFormat="false" ht="15" hidden="false" customHeight="false" outlineLevel="0" collapsed="false">
      <c r="A31" s="7" t="s">
        <v>75</v>
      </c>
      <c r="B31" s="0" t="s">
        <v>91</v>
      </c>
      <c r="C31" s="6" t="b">
        <f aca="false">FALSE()</f>
        <v>0</v>
      </c>
      <c r="D31" s="0" t="n">
        <v>0</v>
      </c>
      <c r="F31" s="0" t="n">
        <v>0</v>
      </c>
      <c r="G31" s="0" t="n">
        <v>0</v>
      </c>
      <c r="H31" s="6" t="b">
        <f aca="false">FALSE()</f>
        <v>0</v>
      </c>
      <c r="L31" s="0" t="n">
        <v>4</v>
      </c>
      <c r="M31" s="0" t="n">
        <v>256</v>
      </c>
      <c r="N31" s="0" t="n">
        <v>7</v>
      </c>
      <c r="O31" s="0" t="s">
        <v>30</v>
      </c>
      <c r="P31" s="0" t="n">
        <v>2</v>
      </c>
      <c r="Q31" s="0" t="n">
        <v>64</v>
      </c>
      <c r="R31" s="0" t="n">
        <v>16</v>
      </c>
      <c r="S31" s="0" t="n">
        <v>2.0449165303176</v>
      </c>
      <c r="T31" s="0" t="n">
        <v>0</v>
      </c>
      <c r="U31" s="0" t="s">
        <v>56</v>
      </c>
      <c r="V31" s="0" t="n">
        <v>0.151101684234514</v>
      </c>
      <c r="W31" s="0" t="n">
        <v>0.198083197439607</v>
      </c>
      <c r="X31" s="0" t="n">
        <v>0</v>
      </c>
      <c r="Y31" s="0" t="s">
        <v>52</v>
      </c>
      <c r="Z31" s="0" t="n">
        <v>0.0005790641828522</v>
      </c>
      <c r="AA31" s="0" t="n">
        <v>1.45951730424675E-008</v>
      </c>
      <c r="AB31" s="0" t="s">
        <v>53</v>
      </c>
      <c r="AD31" s="0" t="s">
        <v>61</v>
      </c>
      <c r="AE31" s="6" t="b">
        <f aca="false">TRUE()</f>
        <v>1</v>
      </c>
    </row>
    <row r="32" customFormat="false" ht="15" hidden="false" customHeight="false" outlineLevel="0" collapsed="false">
      <c r="A32" s="7" t="s">
        <v>75</v>
      </c>
      <c r="B32" s="0" t="s">
        <v>92</v>
      </c>
      <c r="C32" s="6" t="b">
        <f aca="false">FALSE()</f>
        <v>0</v>
      </c>
      <c r="D32" s="0" t="n">
        <v>0</v>
      </c>
      <c r="F32" s="0" t="n">
        <v>0</v>
      </c>
      <c r="G32" s="0" t="n">
        <v>0</v>
      </c>
      <c r="H32" s="6" t="b">
        <f aca="false">FALSE()</f>
        <v>0</v>
      </c>
      <c r="L32" s="0" t="n">
        <v>4</v>
      </c>
      <c r="M32" s="0" t="n">
        <v>256</v>
      </c>
      <c r="N32" s="0" t="n">
        <v>7</v>
      </c>
      <c r="O32" s="0" t="s">
        <v>30</v>
      </c>
      <c r="P32" s="0" t="n">
        <v>2</v>
      </c>
      <c r="Q32" s="0" t="n">
        <v>64</v>
      </c>
      <c r="R32" s="0" t="n">
        <v>16</v>
      </c>
      <c r="S32" s="0" t="n">
        <v>2.07158743208157</v>
      </c>
      <c r="T32" s="0" t="n">
        <v>0</v>
      </c>
      <c r="U32" s="0" t="s">
        <v>56</v>
      </c>
      <c r="V32" s="0" t="n">
        <v>0.133816357086108</v>
      </c>
      <c r="W32" s="0" t="n">
        <v>0.114037952766914</v>
      </c>
      <c r="X32" s="0" t="n">
        <v>0</v>
      </c>
      <c r="Y32" s="0" t="s">
        <v>52</v>
      </c>
      <c r="Z32" s="0" t="n">
        <v>0.0003841137819945</v>
      </c>
      <c r="AA32" s="0" t="n">
        <v>1.09337292385662E-008</v>
      </c>
      <c r="AB32" s="0" t="s">
        <v>53</v>
      </c>
      <c r="AD32" s="0" t="s">
        <v>61</v>
      </c>
      <c r="AE32" s="6" t="b">
        <f aca="false">TRUE()</f>
        <v>1</v>
      </c>
    </row>
    <row r="33" customFormat="false" ht="15" hidden="false" customHeight="false" outlineLevel="0" collapsed="false">
      <c r="A33" s="7" t="s">
        <v>75</v>
      </c>
      <c r="B33" s="0" t="s">
        <v>93</v>
      </c>
      <c r="C33" s="6" t="b">
        <f aca="false">FALSE()</f>
        <v>0</v>
      </c>
      <c r="D33" s="0" t="n">
        <v>0</v>
      </c>
      <c r="F33" s="0" t="n">
        <v>0</v>
      </c>
      <c r="G33" s="0" t="n">
        <v>0</v>
      </c>
      <c r="H33" s="6" t="b">
        <f aca="false">FALSE()</f>
        <v>0</v>
      </c>
      <c r="L33" s="0" t="n">
        <v>5</v>
      </c>
      <c r="M33" s="0" t="n">
        <v>256</v>
      </c>
      <c r="N33" s="0" t="n">
        <v>7</v>
      </c>
      <c r="O33" s="0" t="s">
        <v>30</v>
      </c>
      <c r="P33" s="0" t="n">
        <v>1</v>
      </c>
      <c r="Q33" s="0" t="n">
        <v>64</v>
      </c>
      <c r="R33" s="0" t="n">
        <v>16</v>
      </c>
      <c r="S33" s="0" t="n">
        <v>1.58915060079279</v>
      </c>
      <c r="T33" s="0" t="n">
        <v>0</v>
      </c>
      <c r="U33" s="0" t="s">
        <v>56</v>
      </c>
      <c r="V33" s="0" t="n">
        <v>0.188574603071664</v>
      </c>
      <c r="W33" s="0" t="n">
        <v>0.118548070875388</v>
      </c>
      <c r="X33" s="0" t="n">
        <v>0</v>
      </c>
      <c r="Y33" s="0" t="s">
        <v>52</v>
      </c>
      <c r="Z33" s="0" t="n">
        <v>0.0003275650820354</v>
      </c>
      <c r="AA33" s="0" t="n">
        <v>9.53507938841039E-008</v>
      </c>
      <c r="AB33" s="0" t="s">
        <v>65</v>
      </c>
      <c r="AD33" s="0" t="s">
        <v>61</v>
      </c>
      <c r="AE33" s="6" t="b">
        <f aca="false">TRUE()</f>
        <v>1</v>
      </c>
    </row>
    <row r="34" customFormat="false" ht="15" hidden="false" customHeight="false" outlineLevel="0" collapsed="false">
      <c r="A34" s="7" t="s">
        <v>75</v>
      </c>
      <c r="B34" s="0" t="s">
        <v>94</v>
      </c>
      <c r="C34" s="6" t="b">
        <f aca="false">FALSE()</f>
        <v>0</v>
      </c>
      <c r="D34" s="0" t="n">
        <v>0</v>
      </c>
      <c r="F34" s="0" t="n">
        <v>0</v>
      </c>
      <c r="G34" s="0" t="n">
        <v>0</v>
      </c>
      <c r="H34" s="6" t="b">
        <f aca="false">FALSE()</f>
        <v>0</v>
      </c>
      <c r="L34" s="0" t="n">
        <v>5</v>
      </c>
      <c r="M34" s="0" t="n">
        <v>32</v>
      </c>
      <c r="N34" s="0" t="n">
        <v>7</v>
      </c>
      <c r="O34" s="0" t="s">
        <v>30</v>
      </c>
      <c r="P34" s="0" t="n">
        <v>1</v>
      </c>
      <c r="Q34" s="0" t="n">
        <v>64</v>
      </c>
      <c r="R34" s="0" t="n">
        <v>16</v>
      </c>
      <c r="S34" s="0" t="n">
        <v>1.54758511856599</v>
      </c>
      <c r="T34" s="0" t="n">
        <v>1</v>
      </c>
      <c r="U34" s="0" t="s">
        <v>56</v>
      </c>
      <c r="V34" s="0" t="n">
        <v>0.44621080474293</v>
      </c>
      <c r="W34" s="0" t="n">
        <v>0.0322613235098275</v>
      </c>
      <c r="X34" s="0" t="n">
        <v>0</v>
      </c>
      <c r="Y34" s="0" t="s">
        <v>52</v>
      </c>
      <c r="Z34" s="0" t="n">
        <v>0.0003375008556291</v>
      </c>
      <c r="AA34" s="0" t="n">
        <v>1.07717770474923E-007</v>
      </c>
      <c r="AB34" s="0" t="s">
        <v>65</v>
      </c>
      <c r="AD34" s="0" t="s">
        <v>61</v>
      </c>
      <c r="AE34" s="6" t="b">
        <f aca="false">TRUE()</f>
        <v>1</v>
      </c>
    </row>
    <row r="35" customFormat="false" ht="15" hidden="false" customHeight="false" outlineLevel="0" collapsed="false">
      <c r="A35" s="5" t="s">
        <v>75</v>
      </c>
      <c r="B35" s="0" t="s">
        <v>95</v>
      </c>
      <c r="C35" s="6" t="b">
        <f aca="false">TRUE()</f>
        <v>1</v>
      </c>
      <c r="D35" s="0" t="n">
        <v>1</v>
      </c>
      <c r="E35" s="0" t="n">
        <v>0.352272727272727</v>
      </c>
      <c r="F35" s="0" t="n">
        <v>1</v>
      </c>
      <c r="G35" s="0" t="n">
        <v>8</v>
      </c>
      <c r="H35" s="6" t="b">
        <f aca="false">TRUE()</f>
        <v>1</v>
      </c>
      <c r="I35" s="0" t="n">
        <v>35595</v>
      </c>
      <c r="J35" s="0" t="n">
        <v>126336</v>
      </c>
      <c r="K35" s="0" t="n">
        <v>6479616</v>
      </c>
      <c r="L35" s="0" t="n">
        <v>5</v>
      </c>
      <c r="M35" s="0" t="n">
        <v>32</v>
      </c>
      <c r="N35" s="0" t="n">
        <v>5</v>
      </c>
      <c r="O35" s="0" t="s">
        <v>30</v>
      </c>
      <c r="P35" s="0" t="n">
        <v>2</v>
      </c>
      <c r="Q35" s="0" t="n">
        <v>64</v>
      </c>
      <c r="R35" s="0" t="n">
        <v>16</v>
      </c>
      <c r="S35" s="0" t="n">
        <v>1.84276427659405</v>
      </c>
      <c r="T35" s="0" t="n">
        <v>1</v>
      </c>
      <c r="U35" s="0" t="s">
        <v>56</v>
      </c>
      <c r="V35" s="0" t="n">
        <v>0.446951243296748</v>
      </c>
      <c r="W35" s="0" t="n">
        <v>0.0415732678437918</v>
      </c>
      <c r="X35" s="0" t="n">
        <v>0</v>
      </c>
      <c r="Y35" s="0" t="s">
        <v>52</v>
      </c>
      <c r="Z35" s="0" t="n">
        <v>0.0009668039072816</v>
      </c>
      <c r="AA35" s="0" t="n">
        <v>2.14479656889568E-007</v>
      </c>
      <c r="AB35" s="0" t="s">
        <v>58</v>
      </c>
      <c r="AD35" s="0" t="s">
        <v>61</v>
      </c>
      <c r="AE35" s="6" t="b">
        <f aca="false">TRUE()</f>
        <v>1</v>
      </c>
    </row>
    <row r="36" customFormat="false" ht="15" hidden="false" customHeight="false" outlineLevel="0" collapsed="false">
      <c r="A36" s="5" t="s">
        <v>75</v>
      </c>
      <c r="B36" s="0" t="s">
        <v>96</v>
      </c>
      <c r="C36" s="6" t="b">
        <f aca="false">TRUE()</f>
        <v>1</v>
      </c>
      <c r="D36" s="0" t="n">
        <v>1</v>
      </c>
      <c r="E36" s="0" t="n">
        <v>0.0681818181818181</v>
      </c>
      <c r="F36" s="0" t="n">
        <v>0</v>
      </c>
      <c r="G36" s="0" t="n">
        <v>8</v>
      </c>
      <c r="H36" s="6" t="b">
        <f aca="false">TRUE()</f>
        <v>1</v>
      </c>
      <c r="I36" s="0" t="n">
        <v>36075</v>
      </c>
      <c r="J36" s="0" t="n">
        <v>122560</v>
      </c>
      <c r="K36" s="0" t="n">
        <v>6476032</v>
      </c>
      <c r="L36" s="0" t="n">
        <v>4</v>
      </c>
      <c r="M36" s="0" t="n">
        <v>32</v>
      </c>
      <c r="N36" s="0" t="n">
        <v>5</v>
      </c>
      <c r="O36" s="0" t="s">
        <v>30</v>
      </c>
      <c r="P36" s="0" t="n">
        <v>2</v>
      </c>
      <c r="Q36" s="0" t="n">
        <v>64</v>
      </c>
      <c r="R36" s="0" t="n">
        <v>8</v>
      </c>
      <c r="S36" s="0" t="n">
        <v>2.34392486394003</v>
      </c>
      <c r="T36" s="0" t="n">
        <v>1</v>
      </c>
      <c r="U36" s="0" t="s">
        <v>56</v>
      </c>
      <c r="V36" s="0" t="n">
        <v>0.418713408969729</v>
      </c>
      <c r="W36" s="0" t="n">
        <v>0.080936674057356</v>
      </c>
      <c r="X36" s="0" t="n">
        <v>1</v>
      </c>
      <c r="Y36" s="0" t="s">
        <v>52</v>
      </c>
      <c r="Z36" s="0" t="n">
        <v>0.0009324357528465</v>
      </c>
      <c r="AA36" s="0" t="n">
        <v>3.90045741391956E-007</v>
      </c>
      <c r="AB36" s="0" t="s">
        <v>53</v>
      </c>
      <c r="AD36" s="0" t="s">
        <v>58</v>
      </c>
      <c r="AE36" s="6" t="b">
        <f aca="false">FALSE()</f>
        <v>0</v>
      </c>
    </row>
    <row r="37" customFormat="false" ht="15" hidden="false" customHeight="false" outlineLevel="0" collapsed="false">
      <c r="A37" s="5" t="s">
        <v>75</v>
      </c>
      <c r="B37" s="0" t="s">
        <v>97</v>
      </c>
      <c r="C37" s="6" t="b">
        <f aca="false">TRUE()</f>
        <v>1</v>
      </c>
      <c r="D37" s="0" t="n">
        <v>1</v>
      </c>
      <c r="E37" s="0" t="n">
        <v>0.0681818181818181</v>
      </c>
      <c r="F37" s="0" t="n">
        <v>0</v>
      </c>
      <c r="G37" s="0" t="n">
        <v>8</v>
      </c>
      <c r="H37" s="6" t="b">
        <f aca="false">TRUE()</f>
        <v>1</v>
      </c>
      <c r="I37" s="0" t="n">
        <v>318475</v>
      </c>
      <c r="J37" s="0" t="n">
        <v>1800448</v>
      </c>
      <c r="K37" s="0" t="n">
        <v>171373824</v>
      </c>
      <c r="L37" s="0" t="n">
        <v>4</v>
      </c>
      <c r="M37" s="0" t="n">
        <v>256</v>
      </c>
      <c r="N37" s="0" t="n">
        <v>3</v>
      </c>
      <c r="O37" s="0" t="s">
        <v>30</v>
      </c>
      <c r="P37" s="0" t="n">
        <v>2</v>
      </c>
      <c r="Q37" s="0" t="n">
        <v>64</v>
      </c>
      <c r="R37" s="0" t="n">
        <v>8</v>
      </c>
      <c r="S37" s="0" t="n">
        <v>2.34020593639642</v>
      </c>
      <c r="T37" s="0" t="n">
        <v>0</v>
      </c>
      <c r="U37" s="0" t="s">
        <v>56</v>
      </c>
      <c r="V37" s="0" t="n">
        <v>0.084544721061464</v>
      </c>
      <c r="W37" s="0" t="n">
        <v>0.079128219231522</v>
      </c>
      <c r="X37" s="0" t="n">
        <v>1</v>
      </c>
      <c r="Y37" s="0" t="s">
        <v>52</v>
      </c>
      <c r="Z37" s="0" t="n">
        <v>0.0002442179506692</v>
      </c>
      <c r="AA37" s="0" t="n">
        <v>4.83898424648064E-007</v>
      </c>
      <c r="AB37" s="0" t="s">
        <v>53</v>
      </c>
      <c r="AD37" s="0" t="s">
        <v>58</v>
      </c>
      <c r="AE37" s="6" t="b">
        <f aca="false">FALSE()</f>
        <v>0</v>
      </c>
    </row>
    <row r="38" customFormat="false" ht="15" hidden="false" customHeight="false" outlineLevel="0" collapsed="false">
      <c r="A38" s="7" t="s">
        <v>75</v>
      </c>
      <c r="B38" s="0" t="s">
        <v>98</v>
      </c>
      <c r="C38" s="6" t="b">
        <f aca="false">FALSE()</f>
        <v>0</v>
      </c>
      <c r="D38" s="0" t="n">
        <v>0</v>
      </c>
      <c r="F38" s="0" t="n">
        <v>0</v>
      </c>
      <c r="G38" s="0" t="n">
        <v>0</v>
      </c>
      <c r="H38" s="6" t="b">
        <f aca="false">FALSE()</f>
        <v>0</v>
      </c>
      <c r="L38" s="0" t="n">
        <v>3</v>
      </c>
      <c r="M38" s="0" t="n">
        <v>256</v>
      </c>
      <c r="N38" s="0" t="n">
        <v>3</v>
      </c>
      <c r="O38" s="0" t="s">
        <v>30</v>
      </c>
      <c r="P38" s="0" t="n">
        <v>2</v>
      </c>
      <c r="Q38" s="0" t="n">
        <v>64</v>
      </c>
      <c r="R38" s="0" t="n">
        <v>8</v>
      </c>
      <c r="S38" s="0" t="n">
        <v>2.28503537625603</v>
      </c>
      <c r="T38" s="0" t="n">
        <v>0</v>
      </c>
      <c r="U38" s="0" t="s">
        <v>56</v>
      </c>
      <c r="V38" s="0" t="n">
        <v>0.0815932306724449</v>
      </c>
      <c r="W38" s="0" t="n">
        <v>0.063893499156801</v>
      </c>
      <c r="X38" s="0" t="n">
        <v>1</v>
      </c>
      <c r="Y38" s="0" t="s">
        <v>52</v>
      </c>
      <c r="Z38" s="0" t="n">
        <v>0.0004620025257557</v>
      </c>
      <c r="AA38" s="0" t="n">
        <v>8.38244203414398E-007</v>
      </c>
      <c r="AB38" s="0" t="s">
        <v>53</v>
      </c>
      <c r="AD38" s="0" t="s">
        <v>61</v>
      </c>
      <c r="AE38" s="6" t="b">
        <f aca="false">TRUE()</f>
        <v>1</v>
      </c>
    </row>
    <row r="39" customFormat="false" ht="15" hidden="false" customHeight="false" outlineLevel="0" collapsed="false">
      <c r="A39" s="5" t="s">
        <v>75</v>
      </c>
      <c r="B39" s="0" t="s">
        <v>99</v>
      </c>
      <c r="C39" s="6" t="b">
        <f aca="false">TRUE()</f>
        <v>1</v>
      </c>
      <c r="D39" s="0" t="n">
        <v>1</v>
      </c>
      <c r="E39" s="0" t="n">
        <v>0.511363636363636</v>
      </c>
      <c r="F39" s="0" t="n">
        <v>1</v>
      </c>
      <c r="G39" s="0" t="n">
        <v>8</v>
      </c>
      <c r="H39" s="6" t="b">
        <f aca="false">TRUE()</f>
        <v>1</v>
      </c>
      <c r="I39" s="0" t="n">
        <v>32619</v>
      </c>
      <c r="J39" s="0" t="n">
        <v>307008</v>
      </c>
      <c r="K39" s="0" t="n">
        <v>10918976</v>
      </c>
      <c r="L39" s="0" t="n">
        <v>4</v>
      </c>
      <c r="M39" s="0" t="n">
        <v>32</v>
      </c>
      <c r="N39" s="0" t="n">
        <v>7</v>
      </c>
      <c r="O39" s="0" t="s">
        <v>30</v>
      </c>
      <c r="P39" s="0" t="n">
        <v>2</v>
      </c>
      <c r="Q39" s="0" t="n">
        <v>64</v>
      </c>
      <c r="R39" s="0" t="n">
        <v>16</v>
      </c>
      <c r="S39" s="0" t="n">
        <v>2.21056211473246</v>
      </c>
      <c r="T39" s="0" t="n">
        <v>1</v>
      </c>
      <c r="U39" s="0" t="s">
        <v>56</v>
      </c>
      <c r="V39" s="0" t="n">
        <v>0.234294193022291</v>
      </c>
      <c r="W39" s="0" t="n">
        <v>0.1985694212541</v>
      </c>
      <c r="X39" s="0" t="n">
        <v>1</v>
      </c>
      <c r="Y39" s="0" t="s">
        <v>52</v>
      </c>
      <c r="Z39" s="0" t="n">
        <v>0.0006230669130876</v>
      </c>
      <c r="AA39" s="0" t="n">
        <v>3.45124445264573E-008</v>
      </c>
      <c r="AB39" s="0" t="s">
        <v>58</v>
      </c>
      <c r="AD39" s="0" t="s">
        <v>61</v>
      </c>
      <c r="AE39" s="6" t="b">
        <f aca="false">TRUE()</f>
        <v>1</v>
      </c>
    </row>
    <row r="40" customFormat="false" ht="15" hidden="false" customHeight="false" outlineLevel="0" collapsed="false">
      <c r="A40" s="5" t="s">
        <v>75</v>
      </c>
      <c r="B40" s="0" t="s">
        <v>100</v>
      </c>
      <c r="C40" s="6" t="b">
        <f aca="false">TRUE()</f>
        <v>1</v>
      </c>
      <c r="D40" s="0" t="n">
        <v>1</v>
      </c>
      <c r="E40" s="0" t="n">
        <v>0.732954545454545</v>
      </c>
      <c r="F40" s="0" t="n">
        <v>1</v>
      </c>
      <c r="G40" s="0" t="n">
        <v>24</v>
      </c>
      <c r="H40" s="6" t="b">
        <f aca="false">TRUE()</f>
        <v>1</v>
      </c>
      <c r="I40" s="0" t="n">
        <v>32619</v>
      </c>
      <c r="J40" s="0" t="n">
        <v>307008</v>
      </c>
      <c r="K40" s="0" t="n">
        <v>10918976</v>
      </c>
      <c r="L40" s="0" t="n">
        <v>4</v>
      </c>
      <c r="M40" s="0" t="n">
        <v>32</v>
      </c>
      <c r="N40" s="0" t="n">
        <v>7</v>
      </c>
      <c r="O40" s="0" t="s">
        <v>30</v>
      </c>
      <c r="P40" s="0" t="n">
        <v>2</v>
      </c>
      <c r="Q40" s="0" t="n">
        <v>64</v>
      </c>
      <c r="R40" s="0" t="n">
        <v>16</v>
      </c>
      <c r="S40" s="0" t="n">
        <v>1.89374236620622</v>
      </c>
      <c r="T40" s="0" t="n">
        <v>1</v>
      </c>
      <c r="U40" s="0" t="s">
        <v>56</v>
      </c>
      <c r="V40" s="0" t="n">
        <v>0.238415740149014</v>
      </c>
      <c r="W40" s="0" t="n">
        <v>0.198221635047852</v>
      </c>
      <c r="X40" s="0" t="n">
        <v>1</v>
      </c>
      <c r="Y40" s="0" t="s">
        <v>52</v>
      </c>
      <c r="Z40" s="0" t="n">
        <v>0.0007580767231178</v>
      </c>
      <c r="AA40" s="0" t="n">
        <v>3.15562917222725E-008</v>
      </c>
      <c r="AB40" s="0" t="s">
        <v>58</v>
      </c>
      <c r="AD40" s="0" t="s">
        <v>61</v>
      </c>
      <c r="AE40" s="6" t="b">
        <f aca="false">TRUE()</f>
        <v>1</v>
      </c>
    </row>
    <row r="41" customFormat="false" ht="15" hidden="false" customHeight="false" outlineLevel="0" collapsed="false">
      <c r="A41" s="5" t="s">
        <v>75</v>
      </c>
      <c r="B41" s="0" t="s">
        <v>101</v>
      </c>
      <c r="C41" s="6" t="b">
        <f aca="false">TRUE()</f>
        <v>1</v>
      </c>
      <c r="D41" s="0" t="n">
        <v>1</v>
      </c>
      <c r="E41" s="0" t="n">
        <v>0.761363636363636</v>
      </c>
      <c r="F41" s="0" t="n">
        <v>1</v>
      </c>
      <c r="G41" s="0" t="n">
        <v>40</v>
      </c>
      <c r="H41" s="6" t="b">
        <f aca="false">FALSE()</f>
        <v>0</v>
      </c>
      <c r="I41" s="0" t="n">
        <v>32619</v>
      </c>
      <c r="J41" s="0" t="n">
        <v>307008</v>
      </c>
      <c r="K41" s="0" t="n">
        <v>10918976</v>
      </c>
      <c r="L41" s="0" t="n">
        <v>4</v>
      </c>
      <c r="M41" s="0" t="n">
        <v>32</v>
      </c>
      <c r="N41" s="0" t="n">
        <v>7</v>
      </c>
      <c r="O41" s="0" t="s">
        <v>30</v>
      </c>
      <c r="P41" s="0" t="n">
        <v>2</v>
      </c>
      <c r="Q41" s="0" t="n">
        <v>64</v>
      </c>
      <c r="R41" s="0" t="n">
        <v>16</v>
      </c>
      <c r="S41" s="0" t="n">
        <v>1.88827513590577</v>
      </c>
      <c r="T41" s="0" t="n">
        <v>1</v>
      </c>
      <c r="U41" s="0" t="s">
        <v>56</v>
      </c>
      <c r="V41" s="0" t="n">
        <v>0.24458694365092</v>
      </c>
      <c r="W41" s="0" t="n">
        <v>0.177575666095261</v>
      </c>
      <c r="X41" s="0" t="n">
        <v>1</v>
      </c>
      <c r="Y41" s="0" t="s">
        <v>52</v>
      </c>
      <c r="Z41" s="0" t="n">
        <v>0.0011609460702575</v>
      </c>
      <c r="AA41" s="0" t="n">
        <v>3.73487380923136E-008</v>
      </c>
      <c r="AB41" s="0" t="s">
        <v>58</v>
      </c>
      <c r="AD41" s="0" t="s">
        <v>61</v>
      </c>
      <c r="AE41" s="6" t="b">
        <f aca="false">TRUE()</f>
        <v>1</v>
      </c>
    </row>
    <row r="42" customFormat="false" ht="15" hidden="false" customHeight="false" outlineLevel="0" collapsed="false">
      <c r="A42" s="5" t="s">
        <v>75</v>
      </c>
      <c r="B42" s="0" t="s">
        <v>102</v>
      </c>
      <c r="C42" s="6" t="b">
        <f aca="false">TRUE()</f>
        <v>1</v>
      </c>
      <c r="D42" s="0" t="n">
        <v>1</v>
      </c>
      <c r="E42" s="0" t="n">
        <v>0.329545454545455</v>
      </c>
      <c r="F42" s="0" t="n">
        <v>1</v>
      </c>
      <c r="G42" s="0" t="n">
        <v>8</v>
      </c>
      <c r="H42" s="6" t="b">
        <f aca="false">TRUE()</f>
        <v>1</v>
      </c>
      <c r="I42" s="0" t="n">
        <v>33931</v>
      </c>
      <c r="J42" s="0" t="n">
        <v>887168</v>
      </c>
      <c r="K42" s="0" t="n">
        <v>11900480</v>
      </c>
      <c r="L42" s="0" t="n">
        <v>5</v>
      </c>
      <c r="M42" s="0" t="n">
        <v>32</v>
      </c>
      <c r="N42" s="0" t="n">
        <v>7</v>
      </c>
      <c r="O42" s="0" t="s">
        <v>30</v>
      </c>
      <c r="P42" s="0" t="n">
        <v>2</v>
      </c>
      <c r="Q42" s="0" t="n">
        <v>64</v>
      </c>
      <c r="R42" s="0" t="n">
        <v>16</v>
      </c>
      <c r="S42" s="0" t="n">
        <v>1.81157041019592</v>
      </c>
      <c r="T42" s="0" t="n">
        <v>2</v>
      </c>
      <c r="U42" s="0" t="s">
        <v>56</v>
      </c>
      <c r="V42" s="0" t="n">
        <v>0.0683680998798053</v>
      </c>
      <c r="W42" s="0" t="n">
        <v>0.174239654221106</v>
      </c>
      <c r="X42" s="0" t="n">
        <v>1</v>
      </c>
      <c r="Y42" s="0" t="s">
        <v>52</v>
      </c>
      <c r="Z42" s="0" t="n">
        <v>0.0011356105003274</v>
      </c>
      <c r="AA42" s="0" t="n">
        <v>3.78646657610487E-008</v>
      </c>
      <c r="AB42" s="0" t="s">
        <v>58</v>
      </c>
      <c r="AD42" s="0" t="s">
        <v>61</v>
      </c>
      <c r="AE42" s="6" t="b">
        <f aca="false">TRUE()</f>
        <v>1</v>
      </c>
    </row>
    <row r="43" customFormat="false" ht="15" hidden="false" customHeight="false" outlineLevel="0" collapsed="false">
      <c r="A43" s="7" t="s">
        <v>75</v>
      </c>
      <c r="B43" s="0" t="s">
        <v>103</v>
      </c>
      <c r="C43" s="6" t="b">
        <f aca="false">FALSE()</f>
        <v>0</v>
      </c>
      <c r="D43" s="0" t="n">
        <v>0</v>
      </c>
      <c r="F43" s="0" t="n">
        <v>0</v>
      </c>
      <c r="G43" s="0" t="n">
        <v>0</v>
      </c>
      <c r="H43" s="6" t="b">
        <f aca="false">FALSE()</f>
        <v>0</v>
      </c>
      <c r="L43" s="0" t="n">
        <v>5</v>
      </c>
      <c r="M43" s="0" t="n">
        <v>32</v>
      </c>
      <c r="N43" s="0" t="n">
        <v>7</v>
      </c>
      <c r="O43" s="0" t="s">
        <v>30</v>
      </c>
      <c r="P43" s="0" t="n">
        <v>1</v>
      </c>
      <c r="Q43" s="0" t="n">
        <v>64</v>
      </c>
      <c r="R43" s="0" t="n">
        <v>16</v>
      </c>
      <c r="S43" s="0" t="n">
        <v>1.81952485782853</v>
      </c>
      <c r="T43" s="0" t="n">
        <v>2</v>
      </c>
      <c r="U43" s="0" t="s">
        <v>56</v>
      </c>
      <c r="V43" s="0" t="n">
        <v>0.234284561917589</v>
      </c>
      <c r="W43" s="0" t="n">
        <v>0.170535422858349</v>
      </c>
      <c r="X43" s="0" t="n">
        <v>1</v>
      </c>
      <c r="Y43" s="0" t="s">
        <v>52</v>
      </c>
      <c r="Z43" s="0" t="n">
        <v>0.001194266326027</v>
      </c>
      <c r="AA43" s="0" t="n">
        <v>8.34410457769966E-008</v>
      </c>
      <c r="AB43" s="0" t="s">
        <v>58</v>
      </c>
      <c r="AD43" s="0" t="s">
        <v>61</v>
      </c>
      <c r="AE43" s="6" t="b">
        <f aca="false">TRUE()</f>
        <v>1</v>
      </c>
    </row>
    <row r="44" customFormat="false" ht="15" hidden="false" customHeight="false" outlineLevel="0" collapsed="false">
      <c r="A44" s="7" t="s">
        <v>75</v>
      </c>
      <c r="B44" s="0" t="s">
        <v>104</v>
      </c>
      <c r="C44" s="6" t="b">
        <f aca="false">FALSE()</f>
        <v>0</v>
      </c>
      <c r="D44" s="0" t="n">
        <v>0</v>
      </c>
      <c r="F44" s="0" t="n">
        <v>0</v>
      </c>
      <c r="G44" s="0" t="n">
        <v>0</v>
      </c>
      <c r="H44" s="6" t="b">
        <f aca="false">FALSE()</f>
        <v>0</v>
      </c>
      <c r="L44" s="0" t="n">
        <v>3</v>
      </c>
      <c r="M44" s="0" t="n">
        <v>32</v>
      </c>
      <c r="N44" s="0" t="n">
        <v>7</v>
      </c>
      <c r="O44" s="0" t="s">
        <v>30</v>
      </c>
      <c r="P44" s="0" t="n">
        <v>1</v>
      </c>
      <c r="Q44" s="0" t="n">
        <v>64</v>
      </c>
      <c r="R44" s="0" t="n">
        <v>16</v>
      </c>
      <c r="S44" s="0" t="n">
        <v>1.76391794702181</v>
      </c>
      <c r="T44" s="0" t="n">
        <v>0</v>
      </c>
      <c r="U44" s="0" t="s">
        <v>56</v>
      </c>
      <c r="V44" s="0" t="n">
        <v>0.229372798615701</v>
      </c>
      <c r="W44" s="0" t="n">
        <v>0.148039397603289</v>
      </c>
      <c r="X44" s="0" t="n">
        <v>0</v>
      </c>
      <c r="Y44" s="0" t="s">
        <v>52</v>
      </c>
      <c r="Z44" s="0" t="n">
        <v>0.0016994071856759</v>
      </c>
      <c r="AA44" s="0" t="n">
        <v>1.04765728272217E-008</v>
      </c>
      <c r="AB44" s="0" t="s">
        <v>58</v>
      </c>
      <c r="AD44" s="0" t="s">
        <v>61</v>
      </c>
      <c r="AE44" s="6" t="b">
        <f aca="false">TRUE()</f>
        <v>1</v>
      </c>
    </row>
    <row r="45" customFormat="false" ht="15" hidden="false" customHeight="false" outlineLevel="0" collapsed="false">
      <c r="A45" s="5" t="s">
        <v>75</v>
      </c>
      <c r="B45" s="0" t="s">
        <v>105</v>
      </c>
      <c r="C45" s="6" t="b">
        <f aca="false">TRUE()</f>
        <v>1</v>
      </c>
      <c r="D45" s="0" t="n">
        <v>1</v>
      </c>
      <c r="E45" s="0" t="n">
        <v>0.778409090909091</v>
      </c>
      <c r="F45" s="0" t="n">
        <v>1</v>
      </c>
      <c r="G45" s="0" t="n">
        <v>40</v>
      </c>
      <c r="H45" s="6" t="b">
        <f aca="false">FALSE()</f>
        <v>0</v>
      </c>
      <c r="I45" s="0" t="n">
        <v>31819</v>
      </c>
      <c r="J45" s="0" t="n">
        <v>106848</v>
      </c>
      <c r="K45" s="0" t="n">
        <v>10317472</v>
      </c>
      <c r="L45" s="0" t="n">
        <v>3</v>
      </c>
      <c r="M45" s="0" t="n">
        <v>32</v>
      </c>
      <c r="N45" s="0" t="n">
        <v>7</v>
      </c>
      <c r="O45" s="0" t="s">
        <v>30</v>
      </c>
      <c r="P45" s="0" t="n">
        <v>2</v>
      </c>
      <c r="Q45" s="0" t="n">
        <v>64</v>
      </c>
      <c r="R45" s="0" t="n">
        <v>16</v>
      </c>
      <c r="S45" s="0" t="n">
        <v>1.52166243729084</v>
      </c>
      <c r="T45" s="0" t="n">
        <v>0</v>
      </c>
      <c r="U45" s="0" t="s">
        <v>56</v>
      </c>
      <c r="V45" s="0" t="n">
        <v>0.352279895582032</v>
      </c>
      <c r="W45" s="0" t="n">
        <v>0.150792643025628</v>
      </c>
      <c r="X45" s="0" t="n">
        <v>0</v>
      </c>
      <c r="Y45" s="0" t="s">
        <v>52</v>
      </c>
      <c r="Z45" s="0" t="n">
        <v>0.0021338292853687</v>
      </c>
      <c r="AA45" s="0" t="n">
        <v>1.00073031403398E-008</v>
      </c>
      <c r="AB45" s="0" t="s">
        <v>58</v>
      </c>
      <c r="AD45" s="0" t="s">
        <v>61</v>
      </c>
      <c r="AE45" s="6" t="b">
        <f aca="false">TRUE()</f>
        <v>1</v>
      </c>
    </row>
    <row r="46" customFormat="false" ht="15" hidden="false" customHeight="false" outlineLevel="0" collapsed="false">
      <c r="A46" s="7" t="s">
        <v>75</v>
      </c>
      <c r="B46" s="0" t="s">
        <v>106</v>
      </c>
      <c r="C46" s="6" t="b">
        <f aca="false">FALSE()</f>
        <v>0</v>
      </c>
      <c r="D46" s="0" t="n">
        <v>0</v>
      </c>
      <c r="F46" s="0" t="n">
        <v>0</v>
      </c>
      <c r="G46" s="0" t="n">
        <v>0</v>
      </c>
      <c r="H46" s="6" t="b">
        <f aca="false">FALSE()</f>
        <v>0</v>
      </c>
      <c r="L46" s="0" t="n">
        <v>3</v>
      </c>
      <c r="M46" s="0" t="n">
        <v>256</v>
      </c>
      <c r="N46" s="0" t="n">
        <v>7</v>
      </c>
      <c r="O46" s="0" t="s">
        <v>30</v>
      </c>
      <c r="P46" s="0" t="n">
        <v>2</v>
      </c>
      <c r="Q46" s="0" t="n">
        <v>64</v>
      </c>
      <c r="R46" s="0" t="n">
        <v>16</v>
      </c>
      <c r="S46" s="0" t="n">
        <v>1.5237089279242</v>
      </c>
      <c r="T46" s="0" t="n">
        <v>1</v>
      </c>
      <c r="U46" s="0" t="s">
        <v>56</v>
      </c>
      <c r="V46" s="0" t="n">
        <v>0.392913373022832</v>
      </c>
      <c r="W46" s="0" t="n">
        <v>0.0986780061887672</v>
      </c>
      <c r="X46" s="0" t="n">
        <v>1</v>
      </c>
      <c r="Y46" s="0" t="s">
        <v>52</v>
      </c>
      <c r="Z46" s="0" t="n">
        <v>0.0031051329654056</v>
      </c>
      <c r="AA46" s="0" t="n">
        <v>6.58571778352436E-008</v>
      </c>
      <c r="AB46" s="0" t="s">
        <v>65</v>
      </c>
      <c r="AD46" s="0" t="s">
        <v>61</v>
      </c>
      <c r="AE46" s="6" t="b">
        <f aca="false">TRUE()</f>
        <v>1</v>
      </c>
    </row>
    <row r="47" customFormat="false" ht="15" hidden="false" customHeight="false" outlineLevel="0" collapsed="false">
      <c r="A47" s="5" t="s">
        <v>75</v>
      </c>
      <c r="B47" s="0" t="s">
        <v>107</v>
      </c>
      <c r="C47" s="6" t="b">
        <f aca="false">TRUE()</f>
        <v>1</v>
      </c>
      <c r="D47" s="0" t="n">
        <v>1</v>
      </c>
      <c r="E47" s="0" t="n">
        <v>0.698863636363636</v>
      </c>
      <c r="F47" s="0" t="n">
        <v>1</v>
      </c>
      <c r="G47" s="0" t="n">
        <v>24</v>
      </c>
      <c r="H47" s="6" t="b">
        <f aca="false">TRUE()</f>
        <v>1</v>
      </c>
      <c r="I47" s="0" t="n">
        <v>56843</v>
      </c>
      <c r="J47" s="0" t="n">
        <v>3293184</v>
      </c>
      <c r="K47" s="0" t="n">
        <v>45110016</v>
      </c>
      <c r="L47" s="0" t="n">
        <v>3</v>
      </c>
      <c r="M47" s="0" t="n">
        <v>256</v>
      </c>
      <c r="N47" s="0" t="n">
        <v>5</v>
      </c>
      <c r="O47" s="0" t="s">
        <v>30</v>
      </c>
      <c r="P47" s="0" t="n">
        <v>2</v>
      </c>
      <c r="Q47" s="0" t="n">
        <v>32</v>
      </c>
      <c r="R47" s="0" t="n">
        <v>8</v>
      </c>
      <c r="S47" s="0" t="n">
        <v>2.97995385898429</v>
      </c>
      <c r="T47" s="0" t="n">
        <v>0</v>
      </c>
      <c r="U47" s="0" t="s">
        <v>56</v>
      </c>
      <c r="V47" s="0" t="n">
        <v>0.414531397240369</v>
      </c>
      <c r="W47" s="0" t="n">
        <v>0.100490397218455</v>
      </c>
      <c r="X47" s="0" t="n">
        <v>0</v>
      </c>
      <c r="Y47" s="0" t="s">
        <v>60</v>
      </c>
      <c r="Z47" s="0" t="n">
        <v>0.004883832450226</v>
      </c>
      <c r="AA47" s="0" t="n">
        <v>3.11299760557264E-006</v>
      </c>
      <c r="AB47" s="0" t="s">
        <v>65</v>
      </c>
      <c r="AD47" s="0" t="s">
        <v>58</v>
      </c>
      <c r="AE47" s="6" t="b">
        <f aca="false">FALSE()</f>
        <v>0</v>
      </c>
    </row>
    <row r="48" customFormat="false" ht="15" hidden="false" customHeight="false" outlineLevel="0" collapsed="false">
      <c r="A48" s="5" t="s">
        <v>75</v>
      </c>
      <c r="B48" s="0" t="s">
        <v>108</v>
      </c>
      <c r="C48" s="6" t="b">
        <f aca="false">TRUE()</f>
        <v>1</v>
      </c>
      <c r="D48" s="0" t="n">
        <v>1</v>
      </c>
      <c r="E48" s="0" t="n">
        <v>0.732954545454545</v>
      </c>
      <c r="F48" s="0" t="n">
        <v>1</v>
      </c>
      <c r="G48" s="0" t="n">
        <v>24</v>
      </c>
      <c r="H48" s="6" t="b">
        <f aca="false">TRUE()</f>
        <v>1</v>
      </c>
      <c r="I48" s="0" t="n">
        <v>56587</v>
      </c>
      <c r="J48" s="0" t="n">
        <v>1722112</v>
      </c>
      <c r="K48" s="0" t="n">
        <v>43539200</v>
      </c>
      <c r="L48" s="0" t="n">
        <v>2</v>
      </c>
      <c r="M48" s="0" t="n">
        <v>256</v>
      </c>
      <c r="N48" s="0" t="n">
        <v>5</v>
      </c>
      <c r="O48" s="0" t="s">
        <v>30</v>
      </c>
      <c r="P48" s="0" t="n">
        <v>2</v>
      </c>
      <c r="Q48" s="0" t="n">
        <v>32</v>
      </c>
      <c r="R48" s="0" t="n">
        <v>8</v>
      </c>
      <c r="S48" s="0" t="n">
        <v>1.50791471704147</v>
      </c>
      <c r="T48" s="0" t="n">
        <v>0</v>
      </c>
      <c r="U48" s="0" t="s">
        <v>56</v>
      </c>
      <c r="V48" s="0" t="n">
        <v>0.348817956744755</v>
      </c>
      <c r="W48" s="0" t="n">
        <v>0.132161571962308</v>
      </c>
      <c r="X48" s="0" t="n">
        <v>0</v>
      </c>
      <c r="Y48" s="0" t="s">
        <v>60</v>
      </c>
      <c r="Z48" s="0" t="n">
        <v>0.0020462920961771</v>
      </c>
      <c r="AA48" s="0" t="n">
        <v>3.22541923870562E-006</v>
      </c>
      <c r="AB48" s="0" t="s">
        <v>53</v>
      </c>
      <c r="AD48" s="0" t="s">
        <v>58</v>
      </c>
      <c r="AE48" s="6" t="b">
        <f aca="false">FALSE()</f>
        <v>0</v>
      </c>
    </row>
    <row r="49" customFormat="false" ht="15" hidden="false" customHeight="false" outlineLevel="0" collapsed="false">
      <c r="A49" s="5" t="s">
        <v>75</v>
      </c>
      <c r="B49" s="0" t="s">
        <v>109</v>
      </c>
      <c r="C49" s="6" t="b">
        <f aca="false">TRUE()</f>
        <v>1</v>
      </c>
      <c r="D49" s="0" t="n">
        <v>1</v>
      </c>
      <c r="E49" s="0" t="n">
        <v>0.772727272727273</v>
      </c>
      <c r="F49" s="0" t="n">
        <v>1</v>
      </c>
      <c r="G49" s="0" t="n">
        <v>24</v>
      </c>
      <c r="H49" s="6" t="b">
        <f aca="false">TRUE()</f>
        <v>1</v>
      </c>
      <c r="I49" s="0" t="n">
        <v>31819</v>
      </c>
      <c r="J49" s="0" t="n">
        <v>106848</v>
      </c>
      <c r="K49" s="0" t="n">
        <v>10317472</v>
      </c>
      <c r="L49" s="0" t="n">
        <v>3</v>
      </c>
      <c r="M49" s="0" t="n">
        <v>32</v>
      </c>
      <c r="N49" s="0" t="n">
        <v>7</v>
      </c>
      <c r="O49" s="0" t="s">
        <v>30</v>
      </c>
      <c r="P49" s="0" t="n">
        <v>2</v>
      </c>
      <c r="Q49" s="0" t="n">
        <v>64</v>
      </c>
      <c r="R49" s="0" t="n">
        <v>16</v>
      </c>
      <c r="S49" s="0" t="n">
        <v>1.50426489614531</v>
      </c>
      <c r="T49" s="0" t="n">
        <v>0</v>
      </c>
      <c r="U49" s="0" t="s">
        <v>56</v>
      </c>
      <c r="V49" s="0" t="n">
        <v>0.318844625086026</v>
      </c>
      <c r="W49" s="0" t="n">
        <v>0.160121579048427</v>
      </c>
      <c r="X49" s="0" t="n">
        <v>0</v>
      </c>
      <c r="Y49" s="0" t="s">
        <v>52</v>
      </c>
      <c r="Z49" s="0" t="n">
        <v>0.0022461979425339</v>
      </c>
      <c r="AA49" s="0" t="n">
        <v>2.04430449817525E-008</v>
      </c>
      <c r="AB49" s="0" t="s">
        <v>58</v>
      </c>
      <c r="AD49" s="0" t="s">
        <v>61</v>
      </c>
      <c r="AE49" s="6" t="b">
        <f aca="false">TRUE()</f>
        <v>1</v>
      </c>
    </row>
    <row r="50" customFormat="false" ht="15" hidden="false" customHeight="false" outlineLevel="0" collapsed="false">
      <c r="A50" s="5" t="s">
        <v>75</v>
      </c>
      <c r="B50" s="0" t="s">
        <v>110</v>
      </c>
      <c r="C50" s="6" t="b">
        <f aca="false">TRUE()</f>
        <v>1</v>
      </c>
      <c r="D50" s="0" t="n">
        <v>1</v>
      </c>
      <c r="E50" s="0" t="n">
        <v>0.772727272727273</v>
      </c>
      <c r="F50" s="0" t="n">
        <v>1</v>
      </c>
      <c r="G50" s="0" t="n">
        <v>40</v>
      </c>
      <c r="H50" s="6" t="b">
        <f aca="false">FALSE()</f>
        <v>0</v>
      </c>
      <c r="I50" s="0" t="n">
        <v>32331</v>
      </c>
      <c r="J50" s="0" t="n">
        <v>256768</v>
      </c>
      <c r="K50" s="0" t="n">
        <v>10467392</v>
      </c>
      <c r="L50" s="0" t="n">
        <v>3</v>
      </c>
      <c r="M50" s="0" t="n">
        <v>32</v>
      </c>
      <c r="N50" s="0" t="n">
        <v>7</v>
      </c>
      <c r="O50" s="0" t="s">
        <v>30</v>
      </c>
      <c r="P50" s="0" t="n">
        <v>2</v>
      </c>
      <c r="Q50" s="0" t="n">
        <v>64</v>
      </c>
      <c r="R50" s="0" t="n">
        <v>16</v>
      </c>
      <c r="S50" s="0" t="n">
        <v>1.93540476465885</v>
      </c>
      <c r="T50" s="0" t="n">
        <v>1</v>
      </c>
      <c r="U50" s="0" t="s">
        <v>56</v>
      </c>
      <c r="V50" s="0" t="n">
        <v>0.283687226599292</v>
      </c>
      <c r="W50" s="0" t="n">
        <v>0.157232003573595</v>
      </c>
      <c r="X50" s="0" t="n">
        <v>0</v>
      </c>
      <c r="Y50" s="0" t="s">
        <v>52</v>
      </c>
      <c r="Z50" s="0" t="n">
        <v>0.0024596336749453</v>
      </c>
      <c r="AA50" s="0" t="n">
        <v>2.19010492875701E-008</v>
      </c>
      <c r="AB50" s="0" t="s">
        <v>58</v>
      </c>
      <c r="AD50" s="0" t="s">
        <v>61</v>
      </c>
      <c r="AE50" s="6" t="b">
        <f aca="false">TRUE()</f>
        <v>1</v>
      </c>
    </row>
    <row r="51" customFormat="false" ht="15" hidden="false" customHeight="false" outlineLevel="0" collapsed="false">
      <c r="A51" s="5" t="s">
        <v>75</v>
      </c>
      <c r="B51" s="0" t="s">
        <v>111</v>
      </c>
      <c r="C51" s="6" t="b">
        <f aca="false">TRUE()</f>
        <v>1</v>
      </c>
      <c r="D51" s="0" t="n">
        <v>1</v>
      </c>
      <c r="E51" s="0" t="n">
        <v>0.357954545454545</v>
      </c>
      <c r="F51" s="0" t="n">
        <v>1</v>
      </c>
      <c r="G51" s="0" t="n">
        <v>8</v>
      </c>
      <c r="H51" s="6" t="b">
        <f aca="false">TRUE()</f>
        <v>1</v>
      </c>
      <c r="I51" s="0" t="n">
        <v>32619</v>
      </c>
      <c r="J51" s="0" t="n">
        <v>307008</v>
      </c>
      <c r="K51" s="0" t="n">
        <v>10918976</v>
      </c>
      <c r="L51" s="0" t="n">
        <v>4</v>
      </c>
      <c r="M51" s="0" t="n">
        <v>32</v>
      </c>
      <c r="N51" s="0" t="n">
        <v>7</v>
      </c>
      <c r="O51" s="0" t="s">
        <v>30</v>
      </c>
      <c r="P51" s="0" t="n">
        <v>2</v>
      </c>
      <c r="Q51" s="0" t="n">
        <v>64</v>
      </c>
      <c r="R51" s="0" t="n">
        <v>16</v>
      </c>
      <c r="S51" s="0" t="n">
        <v>1.94443654603978</v>
      </c>
      <c r="T51" s="0" t="n">
        <v>1</v>
      </c>
      <c r="U51" s="0" t="s">
        <v>56</v>
      </c>
      <c r="V51" s="0" t="n">
        <v>0.266767403616504</v>
      </c>
      <c r="W51" s="0" t="n">
        <v>0.181882306758764</v>
      </c>
      <c r="X51" s="0" t="n">
        <v>0</v>
      </c>
      <c r="Y51" s="0" t="s">
        <v>52</v>
      </c>
      <c r="Z51" s="0" t="n">
        <v>0.0004987226346552</v>
      </c>
      <c r="AA51" s="0" t="n">
        <v>1.90649531844826E-007</v>
      </c>
      <c r="AB51" s="0" t="s">
        <v>58</v>
      </c>
      <c r="AD51" s="0" t="s">
        <v>61</v>
      </c>
      <c r="AE51" s="6" t="b">
        <f aca="false">TRUE()</f>
        <v>1</v>
      </c>
    </row>
    <row r="52" customFormat="false" ht="15" hidden="false" customHeight="false" outlineLevel="0" collapsed="false">
      <c r="A52" s="5" t="s">
        <v>75</v>
      </c>
      <c r="B52" s="0" t="s">
        <v>112</v>
      </c>
      <c r="C52" s="6" t="b">
        <f aca="false">TRUE()</f>
        <v>1</v>
      </c>
      <c r="D52" s="0" t="n">
        <v>1</v>
      </c>
      <c r="E52" s="0" t="n">
        <v>0.835227272727273</v>
      </c>
      <c r="F52" s="0" t="n">
        <v>1</v>
      </c>
      <c r="G52" s="0" t="n">
        <v>40</v>
      </c>
      <c r="H52" s="6" t="b">
        <f aca="false">FALSE()</f>
        <v>0</v>
      </c>
      <c r="I52" s="0" t="n">
        <v>31531</v>
      </c>
      <c r="J52" s="0" t="n">
        <v>104128</v>
      </c>
      <c r="K52" s="0" t="n">
        <v>9913408</v>
      </c>
      <c r="L52" s="0" t="n">
        <v>2</v>
      </c>
      <c r="M52" s="0" t="n">
        <v>32</v>
      </c>
      <c r="N52" s="0" t="n">
        <v>7</v>
      </c>
      <c r="O52" s="0" t="s">
        <v>30</v>
      </c>
      <c r="P52" s="0" t="n">
        <v>2</v>
      </c>
      <c r="Q52" s="0" t="n">
        <v>64</v>
      </c>
      <c r="R52" s="0" t="n">
        <v>16</v>
      </c>
      <c r="S52" s="0" t="n">
        <v>1.70172634001328</v>
      </c>
      <c r="T52" s="0" t="n">
        <v>0</v>
      </c>
      <c r="U52" s="0" t="s">
        <v>56</v>
      </c>
      <c r="V52" s="0" t="n">
        <v>0.271026653016072</v>
      </c>
      <c r="W52" s="0" t="n">
        <v>0.159302429663196</v>
      </c>
      <c r="X52" s="0" t="n">
        <v>0</v>
      </c>
      <c r="Y52" s="0" t="s">
        <v>52</v>
      </c>
      <c r="Z52" s="0" t="n">
        <v>0.0027842017110183</v>
      </c>
      <c r="AA52" s="0" t="n">
        <v>1.39771488779333E-007</v>
      </c>
      <c r="AB52" s="0" t="s">
        <v>58</v>
      </c>
      <c r="AD52" s="0" t="s">
        <v>61</v>
      </c>
      <c r="AE52" s="6" t="b">
        <f aca="false">TRUE()</f>
        <v>1</v>
      </c>
    </row>
    <row r="53" customFormat="false" ht="15" hidden="false" customHeight="false" outlineLevel="0" collapsed="false">
      <c r="A53" s="5" t="s">
        <v>75</v>
      </c>
      <c r="B53" s="0" t="s">
        <v>113</v>
      </c>
      <c r="C53" s="6" t="b">
        <f aca="false">TRUE()</f>
        <v>1</v>
      </c>
      <c r="D53" s="0" t="n">
        <v>1</v>
      </c>
      <c r="E53" s="0" t="n">
        <v>0.857954545454545</v>
      </c>
      <c r="F53" s="0" t="n">
        <v>1</v>
      </c>
      <c r="G53" s="0" t="n">
        <v>40</v>
      </c>
      <c r="H53" s="6" t="b">
        <f aca="false">FALSE()</f>
        <v>0</v>
      </c>
      <c r="I53" s="0" t="n">
        <v>34219</v>
      </c>
      <c r="J53" s="0" t="n">
        <v>86816</v>
      </c>
      <c r="K53" s="0" t="n">
        <v>5825888</v>
      </c>
      <c r="L53" s="0" t="n">
        <v>2</v>
      </c>
      <c r="M53" s="0" t="n">
        <v>32</v>
      </c>
      <c r="N53" s="0" t="n">
        <v>5</v>
      </c>
      <c r="O53" s="0" t="s">
        <v>30</v>
      </c>
      <c r="P53" s="0" t="n">
        <v>2</v>
      </c>
      <c r="Q53" s="0" t="n">
        <v>64</v>
      </c>
      <c r="R53" s="0" t="n">
        <v>16</v>
      </c>
      <c r="S53" s="0" t="n">
        <v>1.68767721484783</v>
      </c>
      <c r="T53" s="0" t="n">
        <v>0</v>
      </c>
      <c r="U53" s="0" t="s">
        <v>56</v>
      </c>
      <c r="V53" s="0" t="n">
        <v>0.290631433238035</v>
      </c>
      <c r="W53" s="0" t="n">
        <v>0.158063086535606</v>
      </c>
      <c r="X53" s="0" t="n">
        <v>0</v>
      </c>
      <c r="Y53" s="0" t="s">
        <v>52</v>
      </c>
      <c r="Z53" s="0" t="n">
        <v>0.0035223399704866</v>
      </c>
      <c r="AA53" s="0" t="n">
        <v>5.69893666467822E-008</v>
      </c>
      <c r="AB53" s="0" t="s">
        <v>58</v>
      </c>
      <c r="AD53" s="0" t="s">
        <v>61</v>
      </c>
      <c r="AE53" s="6" t="b">
        <f aca="false">TRUE()</f>
        <v>1</v>
      </c>
    </row>
    <row r="54" customFormat="false" ht="15" hidden="false" customHeight="false" outlineLevel="0" collapsed="false">
      <c r="A54" s="5" t="s">
        <v>75</v>
      </c>
      <c r="B54" s="0" t="s">
        <v>114</v>
      </c>
      <c r="C54" s="6" t="b">
        <f aca="false">TRUE()</f>
        <v>1</v>
      </c>
      <c r="D54" s="0" t="n">
        <v>1</v>
      </c>
      <c r="E54" s="0" t="n">
        <v>0.875</v>
      </c>
      <c r="F54" s="0" t="n">
        <v>1</v>
      </c>
      <c r="G54" s="0" t="n">
        <v>40</v>
      </c>
      <c r="H54" s="6" t="b">
        <f aca="false">FALSE()</f>
        <v>0</v>
      </c>
      <c r="I54" s="0" t="n">
        <v>31531</v>
      </c>
      <c r="J54" s="0" t="n">
        <v>104128</v>
      </c>
      <c r="K54" s="0" t="n">
        <v>9913408</v>
      </c>
      <c r="L54" s="0" t="n">
        <v>2</v>
      </c>
      <c r="M54" s="0" t="n">
        <v>32</v>
      </c>
      <c r="N54" s="0" t="n">
        <v>7</v>
      </c>
      <c r="O54" s="0" t="s">
        <v>30</v>
      </c>
      <c r="P54" s="0" t="n">
        <v>2</v>
      </c>
      <c r="Q54" s="0" t="n">
        <v>64</v>
      </c>
      <c r="R54" s="0" t="n">
        <v>16</v>
      </c>
      <c r="S54" s="0" t="n">
        <v>1.68681335062017</v>
      </c>
      <c r="T54" s="0" t="n">
        <v>0</v>
      </c>
      <c r="U54" s="0" t="s">
        <v>56</v>
      </c>
      <c r="V54" s="0" t="n">
        <v>0.280764249958239</v>
      </c>
      <c r="W54" s="0" t="n">
        <v>0.152508154043555</v>
      </c>
      <c r="X54" s="0" t="n">
        <v>0</v>
      </c>
      <c r="Y54" s="0" t="s">
        <v>52</v>
      </c>
      <c r="Z54" s="0" t="n">
        <v>0.0029181265250205</v>
      </c>
      <c r="AA54" s="0" t="n">
        <v>1.97583157179998E-007</v>
      </c>
      <c r="AB54" s="0" t="s">
        <v>58</v>
      </c>
      <c r="AD54" s="0" t="s">
        <v>61</v>
      </c>
      <c r="AE54" s="6" t="b">
        <f aca="false">TRUE()</f>
        <v>1</v>
      </c>
    </row>
    <row r="55" customFormat="false" ht="15" hidden="false" customHeight="false" outlineLevel="0" collapsed="false">
      <c r="A55" s="5" t="s">
        <v>75</v>
      </c>
      <c r="B55" s="0" t="s">
        <v>115</v>
      </c>
      <c r="C55" s="6" t="b">
        <f aca="false">TRUE()</f>
        <v>1</v>
      </c>
      <c r="D55" s="0" t="n">
        <v>1</v>
      </c>
      <c r="E55" s="0" t="n">
        <v>0.823863636363636</v>
      </c>
      <c r="F55" s="0" t="n">
        <v>1</v>
      </c>
      <c r="G55" s="0" t="n">
        <v>40</v>
      </c>
      <c r="H55" s="6" t="b">
        <f aca="false">FALSE()</f>
        <v>0</v>
      </c>
      <c r="I55" s="0" t="n">
        <v>40971</v>
      </c>
      <c r="J55" s="0" t="n">
        <v>49856</v>
      </c>
      <c r="K55" s="0" t="n">
        <v>8255488</v>
      </c>
      <c r="L55" s="0" t="n">
        <v>2</v>
      </c>
      <c r="M55" s="0" t="n">
        <v>32</v>
      </c>
      <c r="N55" s="0" t="n">
        <v>5</v>
      </c>
      <c r="O55" s="0" t="s">
        <v>79</v>
      </c>
      <c r="Q55" s="0" t="n">
        <v>32</v>
      </c>
      <c r="R55" s="0" t="n">
        <v>16</v>
      </c>
      <c r="S55" s="0" t="n">
        <v>1.68548869982532</v>
      </c>
      <c r="T55" s="0" t="n">
        <v>0</v>
      </c>
      <c r="U55" s="0" t="s">
        <v>56</v>
      </c>
      <c r="V55" s="0" t="n">
        <v>0.292749309218926</v>
      </c>
      <c r="W55" s="0" t="n">
        <v>0.124778488136936</v>
      </c>
      <c r="X55" s="0" t="n">
        <v>0</v>
      </c>
      <c r="Y55" s="0" t="s">
        <v>52</v>
      </c>
      <c r="Z55" s="0" t="n">
        <v>0.0032475717387177</v>
      </c>
      <c r="AA55" s="0" t="n">
        <v>1.60706176080331E-006</v>
      </c>
      <c r="AB55" s="0" t="s">
        <v>58</v>
      </c>
      <c r="AD55" s="0" t="s">
        <v>61</v>
      </c>
      <c r="AE55" s="6" t="b">
        <f aca="false">TRUE()</f>
        <v>1</v>
      </c>
    </row>
    <row r="56" customFormat="false" ht="15" hidden="false" customHeight="false" outlineLevel="0" collapsed="false">
      <c r="A56" s="7" t="s">
        <v>75</v>
      </c>
      <c r="B56" s="0" t="s">
        <v>116</v>
      </c>
      <c r="C56" s="6" t="b">
        <f aca="false">FALSE()</f>
        <v>0</v>
      </c>
      <c r="D56" s="0" t="n">
        <v>0</v>
      </c>
      <c r="F56" s="0" t="n">
        <v>0</v>
      </c>
      <c r="G56" s="0" t="n">
        <v>0</v>
      </c>
      <c r="H56" s="6" t="b">
        <f aca="false">FALSE()</f>
        <v>0</v>
      </c>
      <c r="L56" s="0" t="n">
        <v>2</v>
      </c>
      <c r="M56" s="0" t="n">
        <v>128</v>
      </c>
      <c r="N56" s="0" t="n">
        <v>5</v>
      </c>
      <c r="O56" s="0" t="s">
        <v>79</v>
      </c>
      <c r="Q56" s="0" t="n">
        <v>32</v>
      </c>
      <c r="R56" s="0" t="n">
        <v>16</v>
      </c>
      <c r="S56" s="0" t="n">
        <v>1.73513630990386</v>
      </c>
      <c r="T56" s="0" t="n">
        <v>0</v>
      </c>
      <c r="U56" s="0" t="s">
        <v>56</v>
      </c>
      <c r="V56" s="0" t="n">
        <v>0.308817581132057</v>
      </c>
      <c r="W56" s="0" t="n">
        <v>0.129081953326032</v>
      </c>
      <c r="X56" s="0" t="n">
        <v>0</v>
      </c>
      <c r="Y56" s="0" t="s">
        <v>60</v>
      </c>
      <c r="Z56" s="0" t="n">
        <v>0.0031923920932003</v>
      </c>
      <c r="AA56" s="0" t="n">
        <v>2.18987239983074E-006</v>
      </c>
      <c r="AB56" s="0" t="s">
        <v>58</v>
      </c>
      <c r="AD56" s="0" t="s">
        <v>61</v>
      </c>
      <c r="AE56" s="6" t="b">
        <f aca="false">TRUE()</f>
        <v>1</v>
      </c>
    </row>
    <row r="57" customFormat="false" ht="15" hidden="false" customHeight="false" outlineLevel="0" collapsed="false">
      <c r="A57" s="7" t="s">
        <v>75</v>
      </c>
      <c r="B57" s="0" t="s">
        <v>117</v>
      </c>
      <c r="C57" s="6" t="b">
        <f aca="false">FALSE()</f>
        <v>0</v>
      </c>
      <c r="D57" s="0" t="n">
        <v>0</v>
      </c>
      <c r="F57" s="0" t="n">
        <v>0</v>
      </c>
      <c r="G57" s="0" t="n">
        <v>0</v>
      </c>
      <c r="H57" s="6" t="b">
        <f aca="false">FALSE()</f>
        <v>0</v>
      </c>
      <c r="L57" s="0" t="n">
        <v>2</v>
      </c>
      <c r="M57" s="0" t="n">
        <v>128</v>
      </c>
      <c r="N57" s="0" t="n">
        <v>5</v>
      </c>
      <c r="O57" s="0" t="s">
        <v>79</v>
      </c>
      <c r="Q57" s="0" t="n">
        <v>32</v>
      </c>
      <c r="R57" s="0" t="n">
        <v>16</v>
      </c>
      <c r="S57" s="0" t="n">
        <v>1.73956021815509</v>
      </c>
      <c r="T57" s="0" t="n">
        <v>0</v>
      </c>
      <c r="U57" s="0" t="s">
        <v>56</v>
      </c>
      <c r="V57" s="0" t="n">
        <v>0.296682102084293</v>
      </c>
      <c r="W57" s="0" t="n">
        <v>0.129787570030316</v>
      </c>
      <c r="X57" s="0" t="n">
        <v>0</v>
      </c>
      <c r="Y57" s="0" t="s">
        <v>60</v>
      </c>
      <c r="Z57" s="0" t="n">
        <v>0.0036109127138378</v>
      </c>
      <c r="AA57" s="0" t="n">
        <v>7.62604872029372E-006</v>
      </c>
      <c r="AB57" s="0" t="s">
        <v>58</v>
      </c>
      <c r="AD57" s="0" t="s">
        <v>61</v>
      </c>
      <c r="AE57" s="6" t="b">
        <f aca="false">TRUE()</f>
        <v>1</v>
      </c>
    </row>
    <row r="58" customFormat="false" ht="15" hidden="false" customHeight="false" outlineLevel="0" collapsed="false">
      <c r="A58" s="5" t="s">
        <v>75</v>
      </c>
      <c r="B58" s="0" t="s">
        <v>118</v>
      </c>
      <c r="C58" s="6" t="b">
        <f aca="false">TRUE()</f>
        <v>1</v>
      </c>
      <c r="D58" s="0" t="n">
        <v>1</v>
      </c>
      <c r="E58" s="0" t="n">
        <v>0.744318181818182</v>
      </c>
      <c r="F58" s="0" t="n">
        <v>1</v>
      </c>
      <c r="G58" s="0" t="n">
        <v>24</v>
      </c>
      <c r="H58" s="6" t="b">
        <f aca="false">TRUE()</f>
        <v>1</v>
      </c>
      <c r="I58" s="0" t="n">
        <v>40971</v>
      </c>
      <c r="J58" s="0" t="n">
        <v>49856</v>
      </c>
      <c r="K58" s="0" t="n">
        <v>8255488</v>
      </c>
      <c r="L58" s="0" t="n">
        <v>2</v>
      </c>
      <c r="M58" s="0" t="n">
        <v>32</v>
      </c>
      <c r="N58" s="0" t="n">
        <v>5</v>
      </c>
      <c r="O58" s="0" t="s">
        <v>79</v>
      </c>
      <c r="Q58" s="0" t="n">
        <v>32</v>
      </c>
      <c r="R58" s="0" t="n">
        <v>16</v>
      </c>
      <c r="S58" s="0" t="n">
        <v>1.67815085791732</v>
      </c>
      <c r="T58" s="0" t="n">
        <v>0</v>
      </c>
      <c r="U58" s="0" t="s">
        <v>56</v>
      </c>
      <c r="V58" s="0" t="n">
        <v>0.286213745788189</v>
      </c>
      <c r="W58" s="0" t="n">
        <v>0.135651492592249</v>
      </c>
      <c r="X58" s="0" t="n">
        <v>0</v>
      </c>
      <c r="Y58" s="0" t="s">
        <v>60</v>
      </c>
      <c r="Z58" s="0" t="n">
        <v>0.0039214341854214</v>
      </c>
      <c r="AA58" s="0" t="n">
        <v>6.53263258938931E-006</v>
      </c>
      <c r="AB58" s="0" t="s">
        <v>58</v>
      </c>
      <c r="AD58" s="0" t="s">
        <v>61</v>
      </c>
      <c r="AE58" s="6" t="b">
        <f aca="false">TRUE()</f>
        <v>1</v>
      </c>
    </row>
    <row r="59" customFormat="false" ht="15" hidden="false" customHeight="false" outlineLevel="0" collapsed="false">
      <c r="A59" s="5" t="s">
        <v>75</v>
      </c>
      <c r="B59" s="0" t="s">
        <v>119</v>
      </c>
      <c r="C59" s="6" t="b">
        <f aca="false">TRUE()</f>
        <v>1</v>
      </c>
      <c r="D59" s="0" t="n">
        <v>1</v>
      </c>
      <c r="E59" s="0" t="n">
        <v>0.659090909090909</v>
      </c>
      <c r="F59" s="0" t="n">
        <v>1</v>
      </c>
      <c r="G59" s="0" t="n">
        <v>8</v>
      </c>
      <c r="H59" s="6" t="b">
        <f aca="false">TRUE()</f>
        <v>1</v>
      </c>
      <c r="I59" s="0" t="n">
        <v>40971</v>
      </c>
      <c r="J59" s="0" t="n">
        <v>49856</v>
      </c>
      <c r="K59" s="0" t="n">
        <v>8255488</v>
      </c>
      <c r="L59" s="0" t="n">
        <v>2</v>
      </c>
      <c r="M59" s="0" t="n">
        <v>32</v>
      </c>
      <c r="N59" s="0" t="n">
        <v>5</v>
      </c>
      <c r="O59" s="0" t="s">
        <v>79</v>
      </c>
      <c r="Q59" s="0" t="n">
        <v>32</v>
      </c>
      <c r="R59" s="0" t="n">
        <v>16</v>
      </c>
      <c r="S59" s="0" t="n">
        <v>1.69848441331282</v>
      </c>
      <c r="T59" s="0" t="n">
        <v>0</v>
      </c>
      <c r="U59" s="0" t="s">
        <v>56</v>
      </c>
      <c r="V59" s="0" t="n">
        <v>0.353309776314551</v>
      </c>
      <c r="W59" s="0" t="n">
        <v>0.148968753847682</v>
      </c>
      <c r="X59" s="0" t="n">
        <v>0</v>
      </c>
      <c r="Y59" s="0" t="s">
        <v>52</v>
      </c>
      <c r="Z59" s="0" t="n">
        <v>0.0047338898560617</v>
      </c>
      <c r="AA59" s="0" t="n">
        <v>1.29252213929526E-006</v>
      </c>
      <c r="AB59" s="0" t="s">
        <v>58</v>
      </c>
      <c r="AD59" s="0" t="s">
        <v>61</v>
      </c>
      <c r="AE59" s="6" t="b">
        <f aca="false">TRUE()</f>
        <v>1</v>
      </c>
    </row>
    <row r="60" customFormat="false" ht="15" hidden="false" customHeight="false" outlineLevel="0" collapsed="false">
      <c r="A60" s="5" t="s">
        <v>75</v>
      </c>
      <c r="B60" s="0" t="s">
        <v>120</v>
      </c>
      <c r="C60" s="6" t="b">
        <f aca="false">TRUE()</f>
        <v>1</v>
      </c>
      <c r="D60" s="0" t="n">
        <v>1</v>
      </c>
      <c r="E60" s="0" t="n">
        <v>0.727272727272727</v>
      </c>
      <c r="F60" s="0" t="n">
        <v>1</v>
      </c>
      <c r="G60" s="0" t="n">
        <v>24</v>
      </c>
      <c r="H60" s="6" t="b">
        <f aca="false">TRUE()</f>
        <v>1</v>
      </c>
      <c r="I60" s="0" t="n">
        <v>40971</v>
      </c>
      <c r="J60" s="0" t="n">
        <v>49856</v>
      </c>
      <c r="K60" s="0" t="n">
        <v>8255488</v>
      </c>
      <c r="L60" s="0" t="n">
        <v>2</v>
      </c>
      <c r="M60" s="0" t="n">
        <v>32</v>
      </c>
      <c r="N60" s="0" t="n">
        <v>5</v>
      </c>
      <c r="O60" s="0" t="s">
        <v>79</v>
      </c>
      <c r="Q60" s="0" t="n">
        <v>32</v>
      </c>
      <c r="R60" s="0" t="n">
        <v>16</v>
      </c>
      <c r="S60" s="0" t="n">
        <v>1.64557280080571</v>
      </c>
      <c r="T60" s="0" t="n">
        <v>0</v>
      </c>
      <c r="U60" s="0" t="s">
        <v>56</v>
      </c>
      <c r="V60" s="0" t="n">
        <v>0.353832052117049</v>
      </c>
      <c r="W60" s="0" t="n">
        <v>0.147612691812827</v>
      </c>
      <c r="X60" s="0" t="n">
        <v>0</v>
      </c>
      <c r="Y60" s="0" t="s">
        <v>52</v>
      </c>
      <c r="Z60" s="0" t="n">
        <v>0.004959215217515</v>
      </c>
      <c r="AA60" s="0" t="n">
        <v>2.66889087687079E-007</v>
      </c>
      <c r="AB60" s="0" t="s">
        <v>58</v>
      </c>
      <c r="AD60" s="0" t="s">
        <v>61</v>
      </c>
      <c r="AE60" s="6" t="b">
        <f aca="false">TRUE()</f>
        <v>1</v>
      </c>
    </row>
    <row r="61" customFormat="false" ht="15" hidden="false" customHeight="false" outlineLevel="0" collapsed="false">
      <c r="A61" s="5" t="s">
        <v>75</v>
      </c>
      <c r="B61" s="0" t="s">
        <v>121</v>
      </c>
      <c r="C61" s="6" t="b">
        <f aca="false">TRUE()</f>
        <v>1</v>
      </c>
      <c r="D61" s="0" t="n">
        <v>1</v>
      </c>
      <c r="E61" s="0" t="n">
        <v>0.767045454545455</v>
      </c>
      <c r="F61" s="0" t="n">
        <v>1</v>
      </c>
      <c r="G61" s="0" t="n">
        <v>24</v>
      </c>
      <c r="H61" s="6" t="b">
        <f aca="false">TRUE()</f>
        <v>1</v>
      </c>
      <c r="I61" s="0" t="n">
        <v>40971</v>
      </c>
      <c r="J61" s="0" t="n">
        <v>32448</v>
      </c>
      <c r="K61" s="0" t="n">
        <v>3012608</v>
      </c>
      <c r="L61" s="0" t="n">
        <v>2</v>
      </c>
      <c r="M61" s="0" t="n">
        <v>32</v>
      </c>
      <c r="N61" s="0" t="n">
        <v>3</v>
      </c>
      <c r="O61" s="0" t="s">
        <v>79</v>
      </c>
      <c r="Q61" s="0" t="n">
        <v>32</v>
      </c>
      <c r="R61" s="0" t="n">
        <v>16</v>
      </c>
      <c r="S61" s="0" t="n">
        <v>1.6100467631408</v>
      </c>
      <c r="T61" s="0" t="n">
        <v>0</v>
      </c>
      <c r="U61" s="0" t="s">
        <v>56</v>
      </c>
      <c r="V61" s="0" t="n">
        <v>0.201459053393841</v>
      </c>
      <c r="W61" s="0" t="n">
        <v>0.158810520510428</v>
      </c>
      <c r="X61" s="0" t="n">
        <v>0</v>
      </c>
      <c r="Y61" s="0" t="s">
        <v>52</v>
      </c>
      <c r="Z61" s="0" t="n">
        <v>0.002817740572465</v>
      </c>
      <c r="AA61" s="0" t="n">
        <v>1.92699979124414E-007</v>
      </c>
      <c r="AB61" s="0" t="s">
        <v>58</v>
      </c>
      <c r="AD61" s="0" t="s">
        <v>61</v>
      </c>
      <c r="AE61" s="6" t="b">
        <f aca="false">TRUE()</f>
        <v>1</v>
      </c>
    </row>
    <row r="62" customFormat="false" ht="15" hidden="false" customHeight="false" outlineLevel="0" collapsed="false">
      <c r="A62" s="5" t="s">
        <v>75</v>
      </c>
      <c r="B62" s="0" t="s">
        <v>122</v>
      </c>
      <c r="C62" s="6" t="b">
        <f aca="false">TRUE()</f>
        <v>1</v>
      </c>
      <c r="D62" s="0" t="n">
        <v>1</v>
      </c>
      <c r="E62" s="0" t="n">
        <v>0.642045454545455</v>
      </c>
      <c r="F62" s="0" t="n">
        <v>1</v>
      </c>
      <c r="G62" s="0" t="n">
        <v>8</v>
      </c>
      <c r="H62" s="6" t="b">
        <f aca="false">TRUE()</f>
        <v>1</v>
      </c>
      <c r="I62" s="0" t="n">
        <v>81931</v>
      </c>
      <c r="J62" s="0" t="n">
        <v>83328</v>
      </c>
      <c r="K62" s="0" t="n">
        <v>10743808</v>
      </c>
      <c r="L62" s="0" t="n">
        <v>2</v>
      </c>
      <c r="M62" s="0" t="n">
        <v>64</v>
      </c>
      <c r="N62" s="0" t="n">
        <v>3</v>
      </c>
      <c r="O62" s="0" t="s">
        <v>79</v>
      </c>
      <c r="Q62" s="0" t="n">
        <v>32</v>
      </c>
      <c r="R62" s="0" t="n">
        <v>16</v>
      </c>
      <c r="S62" s="0" t="n">
        <v>3.72731632436614</v>
      </c>
      <c r="T62" s="0" t="n">
        <v>0</v>
      </c>
      <c r="U62" s="0" t="s">
        <v>56</v>
      </c>
      <c r="V62" s="0" t="n">
        <v>0.194725966899875</v>
      </c>
      <c r="W62" s="0" t="n">
        <v>0.158858237582223</v>
      </c>
      <c r="X62" s="0" t="n">
        <v>5</v>
      </c>
      <c r="Y62" s="0" t="s">
        <v>52</v>
      </c>
      <c r="Z62" s="0" t="n">
        <v>0.0027236257911965</v>
      </c>
      <c r="AA62" s="0" t="n">
        <v>1.4240398787276E-007</v>
      </c>
      <c r="AB62" s="0" t="s">
        <v>57</v>
      </c>
      <c r="AD62" s="0" t="s">
        <v>61</v>
      </c>
      <c r="AE62" s="6" t="b">
        <f aca="false">TRUE()</f>
        <v>1</v>
      </c>
    </row>
    <row r="63" customFormat="false" ht="15" hidden="false" customHeight="false" outlineLevel="0" collapsed="false">
      <c r="A63" s="5" t="s">
        <v>75</v>
      </c>
      <c r="B63" s="0" t="s">
        <v>123</v>
      </c>
      <c r="C63" s="6" t="b">
        <f aca="false">TRUE()</f>
        <v>1</v>
      </c>
      <c r="D63" s="0" t="n">
        <v>1</v>
      </c>
      <c r="E63" s="0" t="n">
        <v>0.829545454545455</v>
      </c>
      <c r="F63" s="0" t="n">
        <v>1</v>
      </c>
      <c r="G63" s="0" t="n">
        <v>40</v>
      </c>
      <c r="H63" s="6" t="b">
        <f aca="false">FALSE()</f>
        <v>0</v>
      </c>
      <c r="I63" s="0" t="n">
        <v>81931</v>
      </c>
      <c r="J63" s="0" t="n">
        <v>150912</v>
      </c>
      <c r="K63" s="0" t="n">
        <v>29618176</v>
      </c>
      <c r="L63" s="0" t="n">
        <v>2</v>
      </c>
      <c r="M63" s="0" t="n">
        <v>64</v>
      </c>
      <c r="N63" s="0" t="n">
        <v>5</v>
      </c>
      <c r="O63" s="0" t="s">
        <v>79</v>
      </c>
      <c r="Q63" s="0" t="n">
        <v>32</v>
      </c>
      <c r="R63" s="0" t="n">
        <v>16</v>
      </c>
      <c r="S63" s="0" t="n">
        <v>1.68377084656805</v>
      </c>
      <c r="T63" s="0" t="n">
        <v>0</v>
      </c>
      <c r="U63" s="0" t="s">
        <v>56</v>
      </c>
      <c r="V63" s="0" t="n">
        <v>0.381430861332404</v>
      </c>
      <c r="W63" s="0" t="n">
        <v>0.121918140051445</v>
      </c>
      <c r="X63" s="0" t="n">
        <v>5</v>
      </c>
      <c r="Y63" s="0" t="s">
        <v>52</v>
      </c>
      <c r="Z63" s="0" t="n">
        <v>0.001606129478456</v>
      </c>
      <c r="AA63" s="0" t="n">
        <v>7.20707821054398E-007</v>
      </c>
      <c r="AB63" s="0" t="s">
        <v>57</v>
      </c>
      <c r="AD63" s="0" t="s">
        <v>61</v>
      </c>
      <c r="AE63" s="6" t="b">
        <f aca="false">TRUE()</f>
        <v>1</v>
      </c>
    </row>
    <row r="64" customFormat="false" ht="15" hidden="false" customHeight="false" outlineLevel="0" collapsed="false">
      <c r="A64" s="5" t="s">
        <v>75</v>
      </c>
      <c r="B64" s="0" t="s">
        <v>124</v>
      </c>
      <c r="C64" s="6" t="b">
        <f aca="false">TRUE()</f>
        <v>1</v>
      </c>
      <c r="D64" s="0" t="n">
        <v>1</v>
      </c>
      <c r="E64" s="0" t="n">
        <v>0.846590909090909</v>
      </c>
      <c r="F64" s="0" t="n">
        <v>1</v>
      </c>
      <c r="G64" s="0" t="n">
        <v>40</v>
      </c>
      <c r="H64" s="6" t="b">
        <f aca="false">FALSE()</f>
        <v>0</v>
      </c>
      <c r="I64" s="0" t="n">
        <v>34219</v>
      </c>
      <c r="J64" s="0" t="n">
        <v>86816</v>
      </c>
      <c r="K64" s="0" t="n">
        <v>5825888</v>
      </c>
      <c r="L64" s="0" t="n">
        <v>2</v>
      </c>
      <c r="M64" s="0" t="n">
        <v>32</v>
      </c>
      <c r="N64" s="0" t="n">
        <v>5</v>
      </c>
      <c r="O64" s="0" t="s">
        <v>30</v>
      </c>
      <c r="P64" s="0" t="n">
        <v>2</v>
      </c>
      <c r="Q64" s="0" t="n">
        <v>64</v>
      </c>
      <c r="R64" s="0" t="n">
        <v>16</v>
      </c>
      <c r="S64" s="0" t="n">
        <v>1.96873148286685</v>
      </c>
      <c r="T64" s="0" t="n">
        <v>0</v>
      </c>
      <c r="U64" s="0" t="s">
        <v>56</v>
      </c>
      <c r="V64" s="0" t="n">
        <v>0.324361916829904</v>
      </c>
      <c r="W64" s="0" t="n">
        <v>0.121415685850164</v>
      </c>
      <c r="X64" s="0" t="n">
        <v>0</v>
      </c>
      <c r="Y64" s="0" t="s">
        <v>52</v>
      </c>
      <c r="Z64" s="0" t="n">
        <v>0.001631117926232</v>
      </c>
      <c r="AA64" s="0" t="n">
        <v>6.20325046507566E-008</v>
      </c>
      <c r="AB64" s="0" t="s">
        <v>58</v>
      </c>
      <c r="AD64" s="0" t="s">
        <v>61</v>
      </c>
      <c r="AE64" s="6" t="b">
        <f aca="false">TRUE()</f>
        <v>1</v>
      </c>
    </row>
    <row r="65" customFormat="false" ht="15" hidden="false" customHeight="false" outlineLevel="0" collapsed="false">
      <c r="A65" s="5" t="s">
        <v>75</v>
      </c>
      <c r="B65" s="0" t="s">
        <v>125</v>
      </c>
      <c r="C65" s="6" t="b">
        <f aca="false">TRUE()</f>
        <v>1</v>
      </c>
      <c r="D65" s="0" t="n">
        <v>1</v>
      </c>
      <c r="E65" s="0" t="n">
        <v>0.6875</v>
      </c>
      <c r="F65" s="0" t="n">
        <v>1</v>
      </c>
      <c r="G65" s="0" t="n">
        <v>8</v>
      </c>
      <c r="H65" s="6" t="b">
        <f aca="false">TRUE()</f>
        <v>1</v>
      </c>
      <c r="I65" s="0" t="n">
        <v>81931</v>
      </c>
      <c r="J65" s="0" t="n">
        <v>150912</v>
      </c>
      <c r="K65" s="0" t="n">
        <v>29618176</v>
      </c>
      <c r="L65" s="0" t="n">
        <v>2</v>
      </c>
      <c r="M65" s="0" t="n">
        <v>64</v>
      </c>
      <c r="N65" s="0" t="n">
        <v>5</v>
      </c>
      <c r="O65" s="0" t="s">
        <v>79</v>
      </c>
      <c r="Q65" s="0" t="n">
        <v>32</v>
      </c>
      <c r="R65" s="0" t="n">
        <v>16</v>
      </c>
      <c r="S65" s="0" t="n">
        <v>2.16578624757137</v>
      </c>
      <c r="T65" s="0" t="n">
        <v>0</v>
      </c>
      <c r="U65" s="0" t="s">
        <v>56</v>
      </c>
      <c r="V65" s="0" t="n">
        <v>0.274279243489062</v>
      </c>
      <c r="W65" s="0" t="n">
        <v>0.120501142089454</v>
      </c>
      <c r="X65" s="0" t="n">
        <v>5</v>
      </c>
      <c r="Y65" s="0" t="s">
        <v>52</v>
      </c>
      <c r="Z65" s="0" t="n">
        <v>0.0015134551653246</v>
      </c>
      <c r="AA65" s="0" t="n">
        <v>7.32698162757869E-007</v>
      </c>
      <c r="AB65" s="0" t="s">
        <v>57</v>
      </c>
      <c r="AD65" s="0" t="s">
        <v>61</v>
      </c>
      <c r="AE65" s="6" t="b">
        <f aca="false">TRUE()</f>
        <v>1</v>
      </c>
    </row>
    <row r="66" customFormat="false" ht="15" hidden="false" customHeight="false" outlineLevel="0" collapsed="false">
      <c r="A66" s="5" t="s">
        <v>75</v>
      </c>
      <c r="B66" s="0" t="s">
        <v>126</v>
      </c>
      <c r="C66" s="6" t="b">
        <f aca="false">TRUE()</f>
        <v>1</v>
      </c>
      <c r="D66" s="0" t="n">
        <v>1</v>
      </c>
      <c r="E66" s="0" t="n">
        <v>0.607954545454545</v>
      </c>
      <c r="F66" s="0" t="n">
        <v>1</v>
      </c>
      <c r="G66" s="0" t="n">
        <v>8</v>
      </c>
      <c r="H66" s="6" t="b">
        <f aca="false">TRUE()</f>
        <v>1</v>
      </c>
      <c r="I66" s="0" t="n">
        <v>34219</v>
      </c>
      <c r="J66" s="0" t="n">
        <v>86752</v>
      </c>
      <c r="K66" s="0" t="n">
        <v>5825888</v>
      </c>
      <c r="L66" s="0" t="n">
        <v>2</v>
      </c>
      <c r="M66" s="0" t="n">
        <v>32</v>
      </c>
      <c r="N66" s="0" t="n">
        <v>5</v>
      </c>
      <c r="O66" s="0" t="s">
        <v>30</v>
      </c>
      <c r="P66" s="0" t="n">
        <v>2</v>
      </c>
      <c r="Q66" s="0" t="n">
        <v>64</v>
      </c>
      <c r="R66" s="0" t="n">
        <v>16</v>
      </c>
      <c r="S66" s="0" t="n">
        <v>2.17865090266286</v>
      </c>
      <c r="T66" s="0" t="n">
        <v>0</v>
      </c>
      <c r="U66" s="0" t="s">
        <v>56</v>
      </c>
      <c r="V66" s="0" t="n">
        <v>0.319616308023111</v>
      </c>
      <c r="W66" s="0" t="n">
        <v>0.140639469697927</v>
      </c>
      <c r="X66" s="0" t="n">
        <v>0</v>
      </c>
      <c r="Y66" s="0" t="s">
        <v>52</v>
      </c>
      <c r="Z66" s="0" t="n">
        <v>0.0014590381154808</v>
      </c>
      <c r="AA66" s="0" t="n">
        <v>3.52842520406838E-007</v>
      </c>
      <c r="AB66" s="0" t="s">
        <v>58</v>
      </c>
      <c r="AD66" s="0" t="s">
        <v>58</v>
      </c>
      <c r="AE66" s="6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6" min="6" style="0" width="52"/>
  </cols>
  <sheetData>
    <row r="1" customFormat="false" ht="18.55" hidden="false" customHeight="false" outlineLevel="0" collapsed="false">
      <c r="A1" s="1" t="s">
        <v>127</v>
      </c>
    </row>
    <row r="3" customFormat="false" ht="15" hidden="false" customHeight="false" outlineLevel="0" collapsed="false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</row>
    <row r="4" customFormat="false" ht="15" hidden="false" customHeight="false" outlineLevel="0" collapsed="false">
      <c r="A4" s="8" t="s">
        <v>28</v>
      </c>
      <c r="B4" s="0" t="n">
        <v>3.123</v>
      </c>
      <c r="C4" s="0" t="n">
        <v>0.209814031605586</v>
      </c>
      <c r="D4" s="0" t="n">
        <v>0.504</v>
      </c>
      <c r="E4" s="0" t="n">
        <v>0.25</v>
      </c>
      <c r="F4" s="0" t="s">
        <v>134</v>
      </c>
    </row>
    <row r="5" customFormat="false" ht="15" hidden="false" customHeight="false" outlineLevel="0" collapsed="false">
      <c r="A5" s="9" t="s">
        <v>27</v>
      </c>
      <c r="B5" s="5" t="n">
        <v>17.295</v>
      </c>
      <c r="C5" s="5" t="n">
        <v>0.000614673867370235</v>
      </c>
      <c r="D5" s="5" t="n">
        <v>0.0043</v>
      </c>
      <c r="E5" s="5" t="n">
        <v>0.588</v>
      </c>
      <c r="F5" s="5" t="s">
        <v>135</v>
      </c>
    </row>
    <row r="6" customFormat="false" ht="15" hidden="false" customHeight="false" outlineLevel="0" collapsed="false">
      <c r="A6" s="8" t="s">
        <v>29</v>
      </c>
      <c r="B6" s="0" t="n">
        <v>0.344</v>
      </c>
      <c r="C6" s="0" t="n">
        <v>0.557658928741499</v>
      </c>
      <c r="D6" s="0" t="n">
        <v>0.7807</v>
      </c>
      <c r="E6" s="0" t="n">
        <v>0.083</v>
      </c>
      <c r="F6" s="0" t="s">
        <v>136</v>
      </c>
    </row>
    <row r="7" customFormat="false" ht="15" hidden="false" customHeight="false" outlineLevel="0" collapsed="false">
      <c r="A7" s="8" t="s">
        <v>31</v>
      </c>
      <c r="B7" s="0" t="n">
        <v>0.066</v>
      </c>
      <c r="C7" s="0" t="n">
        <v>0.797045805065091</v>
      </c>
      <c r="D7" s="0" t="n">
        <v>0.81</v>
      </c>
      <c r="E7" s="0" t="n">
        <v>0.036</v>
      </c>
      <c r="F7" s="0" t="s">
        <v>137</v>
      </c>
    </row>
    <row r="8" customFormat="false" ht="15" hidden="false" customHeight="false" outlineLevel="0" collapsed="false">
      <c r="A8" s="8" t="s">
        <v>26</v>
      </c>
      <c r="B8" s="0" t="n">
        <v>2.143</v>
      </c>
      <c r="C8" s="0" t="n">
        <v>0.543291245021411</v>
      </c>
      <c r="D8" s="0" t="n">
        <v>0.7807</v>
      </c>
      <c r="E8" s="0" t="n">
        <v>0.207</v>
      </c>
      <c r="F8" s="0" t="s">
        <v>138</v>
      </c>
    </row>
    <row r="9" customFormat="false" ht="15" hidden="false" customHeight="false" outlineLevel="0" collapsed="false">
      <c r="A9" s="8" t="s">
        <v>34</v>
      </c>
      <c r="B9" s="0" t="n">
        <v>0.964</v>
      </c>
      <c r="C9" s="0" t="n">
        <v>0.810029959344816</v>
      </c>
      <c r="D9" s="0" t="n">
        <v>0.81</v>
      </c>
      <c r="E9" s="0" t="n">
        <v>0.139</v>
      </c>
      <c r="F9" s="0" t="s">
        <v>139</v>
      </c>
    </row>
    <row r="10" customFormat="false" ht="15" hidden="false" customHeight="false" outlineLevel="0" collapsed="false">
      <c r="A10" s="8" t="s">
        <v>32</v>
      </c>
      <c r="B10" s="0" t="n">
        <v>1.531</v>
      </c>
      <c r="C10" s="0" t="n">
        <v>0.216020580955455</v>
      </c>
      <c r="D10" s="0" t="n">
        <v>0.504</v>
      </c>
      <c r="E10" s="0" t="n">
        <v>0.175</v>
      </c>
      <c r="F10" s="0" t="s">
        <v>140</v>
      </c>
    </row>
    <row r="13" customFormat="false" ht="57.45" hidden="false" customHeight="false" outlineLevel="0" collapsed="false">
      <c r="A13" s="10" t="s">
        <v>141</v>
      </c>
    </row>
    <row r="14" customFormat="false" ht="15" hidden="false" customHeight="false" outlineLevel="0" collapsed="false">
      <c r="A14" s="4" t="s">
        <v>27</v>
      </c>
      <c r="B14" s="4" t="s">
        <v>17</v>
      </c>
      <c r="C14" s="4" t="s">
        <v>142</v>
      </c>
      <c r="D14" s="4" t="s">
        <v>143</v>
      </c>
    </row>
    <row r="15" customFormat="false" ht="15" hidden="false" customHeight="false" outlineLevel="0" collapsed="false">
      <c r="A15" s="0" t="n">
        <v>32</v>
      </c>
      <c r="B15" s="0" t="n">
        <f aca="false">SUMIFS('Trial data'!$D$2:$D$66,'Trial data'!$A$2:$A$66,"B_uniform",'Trial data'!$M$2:$M$66,32)</f>
        <v>23</v>
      </c>
      <c r="C15" s="0" t="n">
        <f aca="false">COUNTIFS('Trial data'!$A$2:$A$66,"B_uniform",'Trial data'!$M$2:$M$66,32)</f>
        <v>26</v>
      </c>
      <c r="D15" s="11" t="n">
        <f aca="false">IF(C15=0,0,B15/C15)</f>
        <v>0.884615384615385</v>
      </c>
    </row>
    <row r="16" customFormat="false" ht="15" hidden="false" customHeight="false" outlineLevel="0" collapsed="false">
      <c r="A16" s="0" t="n">
        <v>64</v>
      </c>
      <c r="B16" s="0" t="n">
        <f aca="false">SUMIFS('Trial data'!$D$2:$D$66,'Trial data'!$A$2:$A$66,"B_uniform",'Trial data'!$M$2:$M$66,64)</f>
        <v>6</v>
      </c>
      <c r="C16" s="0" t="n">
        <f aca="false">COUNTIFS('Trial data'!$A$2:$A$66,"B_uniform",'Trial data'!$M$2:$M$66,64)</f>
        <v>7</v>
      </c>
      <c r="D16" s="11" t="n">
        <f aca="false">IF(C16=0,0,B16/C16)</f>
        <v>0.857142857142857</v>
      </c>
    </row>
    <row r="17" customFormat="false" ht="15" hidden="false" customHeight="false" outlineLevel="0" collapsed="false">
      <c r="A17" s="0" t="n">
        <v>128</v>
      </c>
      <c r="B17" s="0" t="n">
        <f aca="false">SUMIFS('Trial data'!$D$2:$D$66,'Trial data'!$A$2:$A$66,"B_uniform",'Trial data'!$M$2:$M$66,128)</f>
        <v>1</v>
      </c>
      <c r="C17" s="0" t="n">
        <f aca="false">COUNTIFS('Trial data'!$A$2:$A$66,"B_uniform",'Trial data'!$M$2:$M$66,128)</f>
        <v>7</v>
      </c>
      <c r="D17" s="11" t="n">
        <f aca="false">IF(C17=0,0,B17/C17)</f>
        <v>0.142857142857143</v>
      </c>
    </row>
    <row r="18" customFormat="false" ht="15" hidden="false" customHeight="false" outlineLevel="0" collapsed="false">
      <c r="A18" s="0" t="n">
        <v>256</v>
      </c>
      <c r="B18" s="0" t="n">
        <f aca="false">SUMIFS('Trial data'!$D$2:$D$66,'Trial data'!$A$2:$A$66,"B_uniform",'Trial data'!$M$2:$M$66,256)</f>
        <v>5</v>
      </c>
      <c r="C18" s="0" t="n">
        <f aca="false">COUNTIFS('Trial data'!$A$2:$A$66,"B_uniform",'Trial data'!$M$2:$M$66,256)</f>
        <v>10</v>
      </c>
      <c r="D18" s="11" t="n">
        <f aca="false">IF(C18=0,0,B18/C18)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8.5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4" t="s">
        <v>128</v>
      </c>
      <c r="B3" s="4" t="s">
        <v>145</v>
      </c>
      <c r="C3" s="4" t="s">
        <v>146</v>
      </c>
      <c r="D3" s="4" t="s">
        <v>130</v>
      </c>
      <c r="E3" s="4" t="s">
        <v>131</v>
      </c>
      <c r="F3" s="4" t="s">
        <v>147</v>
      </c>
      <c r="G3" s="4" t="s">
        <v>148</v>
      </c>
      <c r="H3" s="4" t="s">
        <v>149</v>
      </c>
    </row>
    <row r="4" customFormat="false" ht="15" hidden="false" customHeight="false" outlineLevel="0" collapsed="false">
      <c r="A4" s="9" t="s">
        <v>150</v>
      </c>
      <c r="B4" s="5" t="s">
        <v>151</v>
      </c>
      <c r="C4" s="5" t="n">
        <v>28.5</v>
      </c>
      <c r="D4" s="12" t="n">
        <v>0.0018878401509259</v>
      </c>
      <c r="E4" s="5" t="n">
        <v>0.0142</v>
      </c>
      <c r="F4" s="5" t="n">
        <v>0.736</v>
      </c>
      <c r="G4" s="5" t="s">
        <v>152</v>
      </c>
      <c r="H4" s="5" t="s">
        <v>153</v>
      </c>
    </row>
    <row r="5" customFormat="false" ht="15" hidden="false" customHeight="false" outlineLevel="0" collapsed="false">
      <c r="A5" s="9" t="s">
        <v>33</v>
      </c>
      <c r="B5" s="5" t="s">
        <v>154</v>
      </c>
      <c r="C5" s="5" t="n">
        <v>-0.599</v>
      </c>
      <c r="D5" s="5" t="n">
        <v>0.0001452806412367</v>
      </c>
      <c r="E5" s="5" t="n">
        <v>0.0022</v>
      </c>
      <c r="F5" s="5" t="n">
        <v>-0.599</v>
      </c>
      <c r="G5" s="5" t="s">
        <v>152</v>
      </c>
      <c r="H5" s="5" t="s">
        <v>155</v>
      </c>
    </row>
    <row r="6" customFormat="false" ht="15" hidden="false" customHeight="false" outlineLevel="0" collapsed="false">
      <c r="A6" s="9" t="s">
        <v>41</v>
      </c>
      <c r="B6" s="5" t="s">
        <v>154</v>
      </c>
      <c r="C6" s="5" t="n">
        <v>-0.473</v>
      </c>
      <c r="D6" s="5" t="n">
        <v>0.0040848054137466</v>
      </c>
      <c r="E6" s="5" t="n">
        <v>0.0204</v>
      </c>
      <c r="F6" s="5" t="n">
        <v>-0.473</v>
      </c>
      <c r="G6" s="5" t="s">
        <v>152</v>
      </c>
      <c r="H6" s="5" t="s">
        <v>156</v>
      </c>
    </row>
    <row r="7" customFormat="false" ht="15" hidden="false" customHeight="false" outlineLevel="0" collapsed="false">
      <c r="A7" s="9" t="s">
        <v>40</v>
      </c>
      <c r="B7" s="5" t="s">
        <v>154</v>
      </c>
      <c r="C7" s="5" t="n">
        <v>0.409</v>
      </c>
      <c r="D7" s="5" t="n">
        <v>0.0145771753553498</v>
      </c>
      <c r="E7" s="5" t="n">
        <v>0.0437</v>
      </c>
      <c r="F7" s="5" t="n">
        <v>0.409</v>
      </c>
      <c r="G7" s="5" t="s">
        <v>152</v>
      </c>
      <c r="H7" s="5" t="s">
        <v>157</v>
      </c>
    </row>
    <row r="8" customFormat="false" ht="15" hidden="false" customHeight="false" outlineLevel="0" collapsed="false">
      <c r="A8" s="8" t="s">
        <v>39</v>
      </c>
      <c r="B8" s="0" t="s">
        <v>151</v>
      </c>
      <c r="C8" s="0" t="n">
        <v>59.5</v>
      </c>
      <c r="D8" s="0" t="n">
        <v>0.11663100977056</v>
      </c>
      <c r="E8" s="0" t="n">
        <v>0.1749</v>
      </c>
      <c r="F8" s="0" t="n">
        <v>0.393</v>
      </c>
      <c r="G8" s="0" t="s">
        <v>158</v>
      </c>
      <c r="H8" s="0" t="s">
        <v>159</v>
      </c>
    </row>
    <row r="9" customFormat="false" ht="15" hidden="false" customHeight="false" outlineLevel="0" collapsed="false">
      <c r="A9" s="9" t="s">
        <v>34</v>
      </c>
      <c r="B9" s="5" t="s">
        <v>160</v>
      </c>
      <c r="C9" s="5" t="n">
        <v>8.735</v>
      </c>
      <c r="D9" s="5" t="n">
        <v>0.0126807356325028</v>
      </c>
      <c r="E9" s="5" t="n">
        <v>0.0437</v>
      </c>
      <c r="F9" s="5" t="n">
        <v>0.217</v>
      </c>
      <c r="G9" s="5" t="s">
        <v>152</v>
      </c>
      <c r="H9" s="5" t="s">
        <v>161</v>
      </c>
    </row>
    <row r="10" customFormat="false" ht="15" hidden="false" customHeight="false" outlineLevel="0" collapsed="false">
      <c r="A10" s="8" t="s">
        <v>26</v>
      </c>
      <c r="B10" s="0" t="s">
        <v>160</v>
      </c>
      <c r="C10" s="0" t="n">
        <v>8.744</v>
      </c>
      <c r="D10" s="0" t="n">
        <v>0.0328949660194727</v>
      </c>
      <c r="E10" s="0" t="n">
        <v>0.0822</v>
      </c>
      <c r="F10" s="0" t="n">
        <v>0.185</v>
      </c>
      <c r="G10" s="0" t="s">
        <v>158</v>
      </c>
      <c r="H10" s="0" t="s">
        <v>162</v>
      </c>
    </row>
    <row r="11" customFormat="false" ht="15" hidden="false" customHeight="false" outlineLevel="0" collapsed="false">
      <c r="A11" s="8" t="s">
        <v>37</v>
      </c>
      <c r="B11" s="0" t="s">
        <v>154</v>
      </c>
      <c r="C11" s="0" t="n">
        <v>0.182</v>
      </c>
      <c r="D11" s="0" t="n">
        <v>0.294940825489514</v>
      </c>
      <c r="E11" s="0" t="n">
        <v>0.3687</v>
      </c>
      <c r="F11" s="0" t="n">
        <v>0.182</v>
      </c>
      <c r="G11" s="0" t="s">
        <v>158</v>
      </c>
      <c r="H11" s="0" t="s">
        <v>163</v>
      </c>
    </row>
    <row r="12" customFormat="false" ht="15" hidden="false" customHeight="false" outlineLevel="0" collapsed="false">
      <c r="A12" s="8" t="s">
        <v>28</v>
      </c>
      <c r="B12" s="0" t="s">
        <v>160</v>
      </c>
      <c r="C12" s="0" t="n">
        <v>6.253</v>
      </c>
      <c r="D12" s="0" t="n">
        <v>0.0438815658328518</v>
      </c>
      <c r="E12" s="0" t="n">
        <v>0.094</v>
      </c>
      <c r="F12" s="0" t="n">
        <v>0.133</v>
      </c>
      <c r="G12" s="0" t="s">
        <v>158</v>
      </c>
      <c r="H12" s="0" t="s">
        <v>164</v>
      </c>
    </row>
    <row r="13" customFormat="false" ht="15" hidden="false" customHeight="false" outlineLevel="0" collapsed="false">
      <c r="A13" s="8" t="s">
        <v>42</v>
      </c>
      <c r="B13" s="0" t="s">
        <v>160</v>
      </c>
      <c r="C13" s="0" t="n">
        <v>7.071</v>
      </c>
      <c r="D13" s="0" t="n">
        <v>0.0696679486722758</v>
      </c>
      <c r="E13" s="0" t="n">
        <v>0.1306</v>
      </c>
      <c r="F13" s="0" t="n">
        <v>0.131</v>
      </c>
      <c r="G13" s="0" t="s">
        <v>158</v>
      </c>
      <c r="H13" s="0" t="s">
        <v>165</v>
      </c>
    </row>
    <row r="14" customFormat="false" ht="15" hidden="false" customHeight="false" outlineLevel="0" collapsed="false">
      <c r="A14" s="8" t="s">
        <v>29</v>
      </c>
      <c r="B14" s="0" t="s">
        <v>151</v>
      </c>
      <c r="C14" s="0" t="n">
        <v>142.5</v>
      </c>
      <c r="D14" s="0" t="n">
        <v>0.722002874063721</v>
      </c>
      <c r="E14" s="0" t="n">
        <v>0.722</v>
      </c>
      <c r="F14" s="0" t="n">
        <v>0.08</v>
      </c>
      <c r="G14" s="0" t="s">
        <v>158</v>
      </c>
      <c r="H14" s="0" t="s">
        <v>163</v>
      </c>
    </row>
    <row r="15" customFormat="false" ht="15" hidden="false" customHeight="false" outlineLevel="0" collapsed="false">
      <c r="A15" s="8" t="s">
        <v>36</v>
      </c>
      <c r="B15" s="0" t="s">
        <v>154</v>
      </c>
      <c r="C15" s="0" t="n">
        <v>-0.072</v>
      </c>
      <c r="D15" s="0" t="n">
        <v>0.68131021528806</v>
      </c>
      <c r="E15" s="0" t="n">
        <v>0.722</v>
      </c>
      <c r="F15" s="0" t="n">
        <v>-0.072</v>
      </c>
      <c r="G15" s="0" t="s">
        <v>158</v>
      </c>
      <c r="H15" s="0" t="s">
        <v>163</v>
      </c>
    </row>
    <row r="16" customFormat="false" ht="15" hidden="false" customHeight="false" outlineLevel="0" collapsed="false">
      <c r="A16" s="8" t="s">
        <v>32</v>
      </c>
      <c r="B16" s="0" t="s">
        <v>160</v>
      </c>
      <c r="C16" s="0" t="n">
        <v>2.729</v>
      </c>
      <c r="D16" s="0" t="n">
        <v>0.09853465499157</v>
      </c>
      <c r="E16" s="0" t="n">
        <v>0.1642</v>
      </c>
      <c r="F16" s="0" t="n">
        <v>0.052</v>
      </c>
      <c r="G16" s="0" t="s">
        <v>158</v>
      </c>
      <c r="H16" s="0" t="s">
        <v>166</v>
      </c>
    </row>
    <row r="17" customFormat="false" ht="15" hidden="false" customHeight="false" outlineLevel="0" collapsed="false">
      <c r="A17" s="8" t="s">
        <v>27</v>
      </c>
      <c r="B17" s="0" t="s">
        <v>160</v>
      </c>
      <c r="C17" s="0" t="n">
        <v>3.344</v>
      </c>
      <c r="D17" s="0" t="n">
        <v>0.187825415016531</v>
      </c>
      <c r="E17" s="0" t="n">
        <v>0.2561</v>
      </c>
      <c r="F17" s="0" t="n">
        <v>0.043</v>
      </c>
      <c r="G17" s="0" t="s">
        <v>158</v>
      </c>
      <c r="H17" s="0" t="s">
        <v>167</v>
      </c>
    </row>
    <row r="18" customFormat="false" ht="15" hidden="false" customHeight="false" outlineLevel="0" collapsed="false">
      <c r="A18" s="8" t="s">
        <v>31</v>
      </c>
      <c r="B18" s="0" t="s">
        <v>160</v>
      </c>
      <c r="C18" s="0" t="n">
        <v>0.4</v>
      </c>
      <c r="D18" s="0" t="n">
        <v>0.527140426461085</v>
      </c>
      <c r="E18" s="0" t="n">
        <v>0.6082</v>
      </c>
      <c r="F18" s="0" t="n">
        <v>-0.018</v>
      </c>
      <c r="G18" s="0" t="s">
        <v>158</v>
      </c>
      <c r="H18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8.5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4" t="s">
        <v>169</v>
      </c>
      <c r="B3" s="4" t="s">
        <v>170</v>
      </c>
      <c r="C3" s="4" t="s">
        <v>171</v>
      </c>
      <c r="D3" s="4" t="s">
        <v>172</v>
      </c>
    </row>
    <row r="4" customFormat="false" ht="15" hidden="false" customHeight="false" outlineLevel="0" collapsed="false">
      <c r="A4" s="0" t="s">
        <v>173</v>
      </c>
      <c r="B4" s="0" t="n">
        <v>31</v>
      </c>
      <c r="C4" s="0" t="n">
        <v>0.733</v>
      </c>
      <c r="D4" s="0" t="n">
        <v>0.618</v>
      </c>
    </row>
    <row r="5" customFormat="false" ht="15" hidden="false" customHeight="false" outlineLevel="0" collapsed="false">
      <c r="A5" s="0" t="s">
        <v>174</v>
      </c>
      <c r="B5" s="0" t="n">
        <v>10</v>
      </c>
      <c r="C5" s="0" t="n">
        <v>0.068</v>
      </c>
      <c r="D5" s="0" t="n">
        <v>0.28</v>
      </c>
    </row>
    <row r="7" customFormat="false" ht="46.25" hidden="false" customHeight="false" outlineLevel="0" collapsed="false">
      <c r="A7" s="13" t="s">
        <v>175</v>
      </c>
    </row>
    <row r="9" customFormat="false" ht="35.05" hidden="false" customHeight="false" outlineLevel="0" collapsed="false">
      <c r="A9" s="10" t="s">
        <v>176</v>
      </c>
    </row>
    <row r="10" customFormat="false" ht="15" hidden="false" customHeight="false" outlineLevel="0" collapsed="false">
      <c r="A10" s="4"/>
      <c r="B10" s="4" t="s">
        <v>177</v>
      </c>
      <c r="C10" s="4" t="s">
        <v>178</v>
      </c>
    </row>
    <row r="11" customFormat="false" ht="15" hidden="false" customHeight="false" outlineLevel="0" collapsed="false">
      <c r="A11" s="0" t="s">
        <v>179</v>
      </c>
      <c r="B11" s="0" t="n">
        <v>6</v>
      </c>
      <c r="C11" s="0" t="n">
        <v>4</v>
      </c>
    </row>
    <row r="12" customFormat="false" ht="15" hidden="false" customHeight="false" outlineLevel="0" collapsed="false">
      <c r="A12" s="0" t="s">
        <v>180</v>
      </c>
      <c r="B12" s="0" t="n">
        <v>2</v>
      </c>
      <c r="C12" s="0" t="n">
        <v>29</v>
      </c>
    </row>
    <row r="14" customFormat="false" ht="68.65" hidden="false" customHeight="false" outlineLevel="0" collapsed="false">
      <c r="A14" s="1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5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9"/>
  </cols>
  <sheetData>
    <row r="1" customFormat="false" ht="18.55" hidden="false" customHeight="false" outlineLevel="0" collapsed="false">
      <c r="A1" s="1" t="s">
        <v>182</v>
      </c>
    </row>
    <row r="3" customFormat="false" ht="23.85" hidden="false" customHeight="false" outlineLevel="0" collapsed="false">
      <c r="A3" s="4" t="s">
        <v>15</v>
      </c>
      <c r="B3" s="4" t="s">
        <v>16</v>
      </c>
      <c r="C3" s="4" t="s">
        <v>19</v>
      </c>
      <c r="D3" s="4" t="s">
        <v>23</v>
      </c>
      <c r="E3" s="4" t="s">
        <v>24</v>
      </c>
      <c r="F3" s="4" t="s">
        <v>26</v>
      </c>
      <c r="G3" s="4" t="s">
        <v>27</v>
      </c>
      <c r="H3" s="4" t="s">
        <v>28</v>
      </c>
      <c r="I3" s="4" t="s">
        <v>32</v>
      </c>
      <c r="J3" s="4" t="s">
        <v>34</v>
      </c>
      <c r="K3" s="4" t="s">
        <v>44</v>
      </c>
      <c r="L3" s="4" t="s">
        <v>33</v>
      </c>
      <c r="M3" s="4" t="s">
        <v>40</v>
      </c>
    </row>
    <row r="4" customFormat="false" ht="15" hidden="false" customHeight="false" outlineLevel="0" collapsed="false">
      <c r="A4" s="0" t="s">
        <v>75</v>
      </c>
      <c r="B4" s="0" t="s">
        <v>114</v>
      </c>
      <c r="C4" s="15" t="n">
        <v>0.875</v>
      </c>
      <c r="D4" s="0" t="n">
        <v>31531</v>
      </c>
      <c r="E4" s="0" t="n">
        <v>104128</v>
      </c>
      <c r="F4" s="0" t="n">
        <v>2</v>
      </c>
      <c r="G4" s="0" t="n">
        <v>32</v>
      </c>
      <c r="H4" s="0" t="n">
        <v>7</v>
      </c>
      <c r="I4" s="0" t="n">
        <v>16</v>
      </c>
      <c r="J4" s="0" t="n">
        <v>0</v>
      </c>
      <c r="K4" s="0" t="s">
        <v>61</v>
      </c>
      <c r="L4" s="0" t="n">
        <v>1.68681335062017</v>
      </c>
      <c r="M4" s="0" t="n">
        <v>0.0029181265250205</v>
      </c>
    </row>
    <row r="5" customFormat="false" ht="15" hidden="false" customHeight="false" outlineLevel="0" collapsed="false">
      <c r="A5" s="0" t="s">
        <v>75</v>
      </c>
      <c r="B5" s="0" t="s">
        <v>113</v>
      </c>
      <c r="C5" s="15" t="n">
        <v>0.857954545454545</v>
      </c>
      <c r="D5" s="0" t="n">
        <v>34219</v>
      </c>
      <c r="E5" s="0" t="n">
        <v>86816</v>
      </c>
      <c r="F5" s="0" t="n">
        <v>2</v>
      </c>
      <c r="G5" s="0" t="n">
        <v>32</v>
      </c>
      <c r="H5" s="0" t="n">
        <v>5</v>
      </c>
      <c r="I5" s="0" t="n">
        <v>16</v>
      </c>
      <c r="J5" s="0" t="n">
        <v>0</v>
      </c>
      <c r="K5" s="0" t="s">
        <v>61</v>
      </c>
      <c r="L5" s="0" t="n">
        <v>1.68767721484783</v>
      </c>
      <c r="M5" s="0" t="n">
        <v>0.0035223399704866</v>
      </c>
    </row>
    <row r="6" customFormat="false" ht="15" hidden="false" customHeight="false" outlineLevel="0" collapsed="false">
      <c r="A6" s="0" t="s">
        <v>75</v>
      </c>
      <c r="B6" s="0" t="s">
        <v>124</v>
      </c>
      <c r="C6" s="15" t="n">
        <v>0.846590909090909</v>
      </c>
      <c r="D6" s="0" t="n">
        <v>34219</v>
      </c>
      <c r="E6" s="0" t="n">
        <v>86816</v>
      </c>
      <c r="F6" s="0" t="n">
        <v>2</v>
      </c>
      <c r="G6" s="0" t="n">
        <v>32</v>
      </c>
      <c r="H6" s="0" t="n">
        <v>5</v>
      </c>
      <c r="I6" s="0" t="n">
        <v>16</v>
      </c>
      <c r="J6" s="0" t="n">
        <v>0</v>
      </c>
      <c r="K6" s="0" t="s">
        <v>61</v>
      </c>
      <c r="L6" s="0" t="n">
        <v>1.96873148286685</v>
      </c>
      <c r="M6" s="0" t="n">
        <v>0.001631117926232</v>
      </c>
    </row>
    <row r="7" customFormat="false" ht="15" hidden="false" customHeight="false" outlineLevel="0" collapsed="false">
      <c r="A7" s="0" t="s">
        <v>75</v>
      </c>
      <c r="B7" s="0" t="s">
        <v>112</v>
      </c>
      <c r="C7" s="15" t="n">
        <v>0.835227272727273</v>
      </c>
      <c r="D7" s="0" t="n">
        <v>31531</v>
      </c>
      <c r="E7" s="0" t="n">
        <v>104128</v>
      </c>
      <c r="F7" s="0" t="n">
        <v>2</v>
      </c>
      <c r="G7" s="0" t="n">
        <v>32</v>
      </c>
      <c r="H7" s="0" t="n">
        <v>7</v>
      </c>
      <c r="I7" s="0" t="n">
        <v>16</v>
      </c>
      <c r="J7" s="0" t="n">
        <v>0</v>
      </c>
      <c r="K7" s="0" t="s">
        <v>61</v>
      </c>
      <c r="L7" s="0" t="n">
        <v>1.70172634001328</v>
      </c>
      <c r="M7" s="0" t="n">
        <v>0.0027842017110183</v>
      </c>
    </row>
    <row r="8" customFormat="false" ht="15" hidden="false" customHeight="false" outlineLevel="0" collapsed="false">
      <c r="A8" s="0" t="s">
        <v>75</v>
      </c>
      <c r="B8" s="0" t="s">
        <v>123</v>
      </c>
      <c r="C8" s="15" t="n">
        <v>0.829545454545455</v>
      </c>
      <c r="D8" s="0" t="n">
        <v>81931</v>
      </c>
      <c r="E8" s="0" t="n">
        <v>150912</v>
      </c>
      <c r="F8" s="0" t="n">
        <v>2</v>
      </c>
      <c r="G8" s="0" t="n">
        <v>64</v>
      </c>
      <c r="H8" s="0" t="n">
        <v>5</v>
      </c>
      <c r="I8" s="0" t="n">
        <v>16</v>
      </c>
      <c r="J8" s="0" t="n">
        <v>0</v>
      </c>
      <c r="K8" s="0" t="s">
        <v>61</v>
      </c>
      <c r="L8" s="0" t="n">
        <v>1.68377084656805</v>
      </c>
      <c r="M8" s="0" t="n">
        <v>0.001606129478456</v>
      </c>
    </row>
    <row r="9" customFormat="false" ht="15" hidden="false" customHeight="false" outlineLevel="0" collapsed="false">
      <c r="A9" s="0" t="s">
        <v>75</v>
      </c>
      <c r="B9" s="0" t="s">
        <v>115</v>
      </c>
      <c r="C9" s="15" t="n">
        <v>0.823863636363636</v>
      </c>
      <c r="D9" s="0" t="n">
        <v>40971</v>
      </c>
      <c r="E9" s="0" t="n">
        <v>49856</v>
      </c>
      <c r="F9" s="0" t="n">
        <v>2</v>
      </c>
      <c r="G9" s="0" t="n">
        <v>32</v>
      </c>
      <c r="H9" s="0" t="n">
        <v>5</v>
      </c>
      <c r="I9" s="0" t="n">
        <v>16</v>
      </c>
      <c r="J9" s="0" t="n">
        <v>0</v>
      </c>
      <c r="K9" s="0" t="s">
        <v>61</v>
      </c>
      <c r="L9" s="0" t="n">
        <v>1.68548869982532</v>
      </c>
      <c r="M9" s="0" t="n">
        <v>0.0032475717387177</v>
      </c>
    </row>
    <row r="10" customFormat="false" ht="15" hidden="false" customHeight="false" outlineLevel="0" collapsed="false">
      <c r="A10" s="0" t="s">
        <v>75</v>
      </c>
      <c r="B10" s="0" t="s">
        <v>90</v>
      </c>
      <c r="C10" s="15" t="n">
        <v>0.778409090909091</v>
      </c>
      <c r="D10" s="0" t="n">
        <v>32619</v>
      </c>
      <c r="E10" s="0" t="n">
        <v>307008</v>
      </c>
      <c r="F10" s="0" t="n">
        <v>4</v>
      </c>
      <c r="G10" s="0" t="n">
        <v>32</v>
      </c>
      <c r="H10" s="0" t="n">
        <v>7</v>
      </c>
      <c r="I10" s="0" t="n">
        <v>16</v>
      </c>
      <c r="J10" s="0" t="n">
        <v>1</v>
      </c>
      <c r="K10" s="0" t="s">
        <v>61</v>
      </c>
      <c r="L10" s="0" t="n">
        <v>2.078295352014</v>
      </c>
      <c r="M10" s="0" t="n">
        <v>0.0007879047894068</v>
      </c>
    </row>
    <row r="11" customFormat="false" ht="15" hidden="false" customHeight="false" outlineLevel="0" collapsed="false">
      <c r="A11" s="0" t="s">
        <v>75</v>
      </c>
      <c r="B11" s="0" t="s">
        <v>105</v>
      </c>
      <c r="C11" s="15" t="n">
        <v>0.778409090909091</v>
      </c>
      <c r="D11" s="0" t="n">
        <v>31819</v>
      </c>
      <c r="E11" s="0" t="n">
        <v>106848</v>
      </c>
      <c r="F11" s="0" t="n">
        <v>3</v>
      </c>
      <c r="G11" s="0" t="n">
        <v>32</v>
      </c>
      <c r="H11" s="0" t="n">
        <v>7</v>
      </c>
      <c r="I11" s="0" t="n">
        <v>16</v>
      </c>
      <c r="J11" s="0" t="n">
        <v>0</v>
      </c>
      <c r="K11" s="0" t="s">
        <v>61</v>
      </c>
      <c r="L11" s="0" t="n">
        <v>1.52166243729084</v>
      </c>
      <c r="M11" s="0" t="n">
        <v>0.0021338292853687</v>
      </c>
    </row>
    <row r="12" customFormat="false" ht="15" hidden="false" customHeight="false" outlineLevel="0" collapsed="false">
      <c r="A12" s="0" t="s">
        <v>75</v>
      </c>
      <c r="B12" s="0" t="s">
        <v>110</v>
      </c>
      <c r="C12" s="15" t="n">
        <v>0.772727272727273</v>
      </c>
      <c r="D12" s="0" t="n">
        <v>32331</v>
      </c>
      <c r="E12" s="0" t="n">
        <v>256768</v>
      </c>
      <c r="F12" s="0" t="n">
        <v>3</v>
      </c>
      <c r="G12" s="0" t="n">
        <v>32</v>
      </c>
      <c r="H12" s="0" t="n">
        <v>7</v>
      </c>
      <c r="I12" s="0" t="n">
        <v>16</v>
      </c>
      <c r="J12" s="0" t="n">
        <v>1</v>
      </c>
      <c r="K12" s="0" t="s">
        <v>61</v>
      </c>
      <c r="L12" s="0" t="n">
        <v>1.93540476465885</v>
      </c>
      <c r="M12" s="0" t="n">
        <v>0.0024596336749453</v>
      </c>
    </row>
    <row r="13" customFormat="false" ht="15" hidden="false" customHeight="false" outlineLevel="0" collapsed="false">
      <c r="A13" s="0" t="s">
        <v>75</v>
      </c>
      <c r="B13" s="0" t="s">
        <v>109</v>
      </c>
      <c r="C13" s="15" t="n">
        <v>0.772727272727273</v>
      </c>
      <c r="D13" s="0" t="n">
        <v>31819</v>
      </c>
      <c r="E13" s="0" t="n">
        <v>106848</v>
      </c>
      <c r="F13" s="0" t="n">
        <v>3</v>
      </c>
      <c r="G13" s="0" t="n">
        <v>32</v>
      </c>
      <c r="H13" s="0" t="n">
        <v>7</v>
      </c>
      <c r="I13" s="0" t="n">
        <v>16</v>
      </c>
      <c r="J13" s="0" t="n">
        <v>0</v>
      </c>
      <c r="K13" s="0" t="s">
        <v>61</v>
      </c>
      <c r="L13" s="0" t="n">
        <v>1.50426489614531</v>
      </c>
      <c r="M13" s="0" t="n">
        <v>0.0022461979425339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2026-07-23T23:36:21Z</dcterms:created>
  <dc:creator>openpyxl</dc:creator>
  <dc:description/>
  <dc:language>en-US</dc:language>
  <cp:lastModifiedBy/>
  <dcterms:modified xsi:type="dcterms:W3CDTF">2026-07-23T23:36:21Z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